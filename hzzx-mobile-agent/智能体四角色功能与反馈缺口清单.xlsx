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531cf3137744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777fe7e99d3341c4"/>
    <x:sheet xmlns:r="http://schemas.openxmlformats.org/officeDocument/2006/relationships" name="角色功能矩阵" sheetId="2" r:id="R308f6d93f0004f23"/>
    <x:sheet xmlns:r="http://schemas.openxmlformats.org/officeDocument/2006/relationships" name="现网点击反馈" sheetId="3" r:id="R76d98b5385084001"/>
    <x:sheet xmlns:r="http://schemas.openxmlformats.org/officeDocument/2006/relationships" name="待客户补充" sheetId="4" r:id="Rc421c43a5d984c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0%"/>
  </x:numFmts>
  <x:fonts count="15">
    <x:font>
      <x:sz val="11"/>
      <x:name val="Carlito"/>
    </x:font>
    <x:font>
      <x:b/>
      <x:sz val="18"/>
      <x:color rgb="FFFFFFFF"/>
      <x:name val="Microsoft YaHei"/>
    </x:font>
    <x:font>
      <x:sz val="10"/>
      <x:color rgb="FF4B5563"/>
      <x:name val="Microsoft YaHei"/>
    </x:font>
    <x:font>
      <x:b/>
      <x:sz val="10"/>
      <x:color rgb="FFFFFFFF"/>
      <x:name val="Microsoft YaHei"/>
    </x:font>
    <x:font>
      <x:sz val="9"/>
      <x:color rgb="FF1F2937"/>
      <x:name val="Microsoft YaHei"/>
    </x:font>
    <x:font>
      <x:b/>
      <x:sz val="9"/>
      <x:color rgb="FF1F2937"/>
      <x:name val="Microsoft YaHei"/>
    </x:font>
    <x:font>
      <x:sz val="9"/>
      <x:color rgb="FF1677FF"/>
      <x:name val="Aptos"/>
    </x:font>
    <x:font>
      <x:sz val="10"/>
      <x:color rgb="FF1F2937"/>
      <x:name val="Microsoft YaHei"/>
    </x:font>
    <x:font>
      <x:b/>
      <x:sz val="10"/>
      <x:color rgb="FF1F2937"/>
      <x:name val="Microsoft YaHei"/>
    </x:font>
    <x:font>
      <x:b/>
      <x:sz val="11"/>
      <x:color rgb="FFFFFFFF"/>
      <x:name val="Microsoft YaHei"/>
    </x:font>
    <x:font>
      <x:b/>
      <x:sz val="12"/>
      <x:color rgb="FF1677FF"/>
      <x:name val="Microsoft YaHei"/>
    </x:font>
    <x:font>
      <x:b/>
      <x:sz val="12"/>
      <x:color rgb="FF16865B"/>
      <x:name val="Microsoft YaHei"/>
    </x:font>
    <x:font>
      <x:b/>
      <x:sz val="12"/>
      <x:color rgb="FF4F46E5"/>
      <x:name val="Microsoft YaHei"/>
    </x:font>
    <x:font>
      <x:b/>
      <x:sz val="12"/>
      <x:color rgb="FFD97706"/>
      <x:name val="Microsoft YaHei"/>
    </x:font>
    <x:font>
      <x:b/>
      <x:sz val="10"/>
      <x:color rgb="FF4B5563"/>
      <x:name val="Microsoft YaHei"/>
    </x:font>
  </x:fonts>
  <x:fills count="16">
    <x:fill>
      <x:patternFill patternType="none"/>
    </x:fill>
    <x:fill>
      <x:patternFill patternType="gray125"/>
    </x:fill>
    <x:fill>
      <x:patternFill patternType="solid">
        <x:fgColor rgb="FF173B64"/>
      </x:patternFill>
    </x:fill>
    <x:fill>
      <x:patternFill patternType="solid">
        <x:fgColor rgb="FFE9F0F7"/>
      </x:patternFill>
    </x:fill>
    <x:fill>
      <x:patternFill patternType="solid">
        <x:fgColor rgb="FFEAF4FF"/>
      </x:patternFill>
    </x:fill>
    <x:fill>
      <x:patternFill patternType="solid">
        <x:fgColor rgb="FFE9F7EF"/>
      </x:patternFill>
    </x:fill>
    <x:fill>
      <x:patternFill patternType="solid">
        <x:fgColor rgb="FFEEF0FF"/>
      </x:patternFill>
    </x:fill>
    <x:fill>
      <x:patternFill patternType="solid">
        <x:fgColor rgb="FFFFF4E5"/>
      </x:patternFill>
    </x:fill>
    <x:fill>
      <x:patternFill patternType="solid">
        <x:fgColor rgb="FFF7F9FC"/>
      </x:patternFill>
    </x:fill>
    <x:fill>
      <x:patternFill patternType="solid">
        <x:fgColor rgb="FF245487"/>
      </x:patternFill>
    </x:fill>
    <x:fill>
      <x:patternFill patternType="solid">
        <x:fgColor rgb="FFE8F7EE"/>
      </x:patternFill>
    </x:fill>
    <x:fill>
      <x:patternFill patternType="solid">
        <x:fgColor rgb="FFFFF7E6"/>
      </x:patternFill>
    </x:fill>
    <x:fill>
      <x:patternFill patternType="solid">
        <x:fgColor rgb="FFFFF1F0"/>
      </x:patternFill>
    </x:fill>
    <x:fill>
      <x:patternFill patternType="solid">
        <x:fgColor rgb="FFF3F4F6"/>
      </x:patternFill>
    </x:fill>
    <x:fill>
      <x:patternFill patternType="solid">
        <x:fgColor rgb="FFFBFCFE"/>
      </x:patternFill>
    </x:fill>
    <x:fill>
      <x:patternFill patternType="solid">
        <x:fgColor rgb="FFFFFFFF"/>
      </x:patternFill>
    </x:fill>
  </x:fills>
  <x:borders count="9">
    <x:border/>
    <x:border>
      <x:left style="thin">
        <x:color rgb="FFBAC7D5"/>
      </x:left>
      <x:right style="thin">
        <x:color rgb="FFBAC7D5"/>
      </x:right>
      <x:top style="thin">
        <x:color rgb="FFBAC7D5"/>
      </x:top>
      <x:bottom style="thin">
        <x:color rgb="FFBAC7D5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top" wrapText="1"/>
    </x:xf>
    <x:xf numFmtId="0" fontId="4" fillId="0" borderId="3" xfId="0" applyNumberFormat="1" applyFont="1" applyFill="1" applyBorder="1" applyAlignment="1">
      <x:alignment horizontal="left" vertical="top" wrapText="1"/>
    </x:xf>
    <x:xf numFmtId="0" fontId="4" fillId="0" borderId="4" xfId="0" applyNumberFormat="1" applyFont="1" applyFill="1" applyBorder="1" applyAlignment="1">
      <x:alignment horizontal="left" vertical="top" wrapText="1"/>
    </x:xf>
    <x:xf numFmtId="0" fontId="5" fillId="0" borderId="2" xfId="0" applyNumberFormat="1" applyFont="1" applyFill="1" applyBorder="1" applyAlignment="1">
      <x:alignment horizontal="left" vertical="top" wrapText="1"/>
    </x:xf>
    <x:xf numFmtId="0" fontId="5" fillId="0" borderId="3" xfId="0" applyNumberFormat="1" applyFont="1" applyFill="1" applyBorder="1" applyAlignment="1">
      <x:alignment horizontal="left" vertical="top" wrapText="1"/>
    </x:xf>
    <x:xf numFmtId="0" fontId="5" fillId="0" borderId="4" xfId="0" applyNumberFormat="1" applyFont="1" applyFill="1" applyBorder="1" applyAlignment="1">
      <x:alignment horizontal="left" vertical="top" wrapText="1"/>
    </x:xf>
    <x:xf numFmtId="0" fontId="5" fillId="0" borderId="2" xfId="0" applyNumberFormat="1" applyFont="1" applyFill="1" applyBorder="1" applyAlignment="1">
      <x:alignment horizontal="center" vertical="top" wrapText="1"/>
    </x:xf>
    <x:xf numFmtId="0" fontId="5" fillId="0" borderId="3" xfId="0" applyNumberFormat="1" applyFont="1" applyFill="1" applyBorder="1" applyAlignment="1">
      <x:alignment horizontal="center"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4" fillId="0" borderId="2" xfId="0" applyNumberFormat="1" applyFont="1" applyFill="1" applyBorder="1" applyAlignment="1">
      <x:alignment horizontal="center" vertical="top" wrapText="1"/>
    </x:xf>
    <x:xf numFmtId="0" fontId="4" fillId="0" borderId="3" xfId="0" applyNumberFormat="1" applyFont="1" applyFill="1" applyBorder="1" applyAlignment="1">
      <x:alignment horizontal="center" vertical="top" wrapText="1"/>
    </x:xf>
    <x:xf numFmtId="0" fontId="4" fillId="0" borderId="4" xfId="0" applyNumberFormat="1" applyFont="1" applyFill="1" applyBorder="1" applyAlignment="1">
      <x:alignment horizontal="center" vertical="top" wrapText="1"/>
    </x:xf>
    <x:xf numFmtId="0" fontId="5" fillId="4" borderId="2" xfId="0" applyNumberFormat="1" applyFont="1" applyFill="1" applyBorder="1" applyAlignment="1">
      <x:alignment horizontal="center" vertical="top" wrapText="1"/>
    </x:xf>
    <x:xf numFmtId="0" fontId="5" fillId="4" borderId="3" xfId="0" applyNumberFormat="1" applyFont="1" applyFill="1" applyBorder="1" applyAlignment="1">
      <x:alignment horizontal="center" vertical="top" wrapText="1"/>
    </x:xf>
    <x:xf numFmtId="0" fontId="5" fillId="5" borderId="3" xfId="0" applyNumberFormat="1" applyFont="1" applyFill="1" applyBorder="1" applyAlignment="1">
      <x:alignment horizontal="center" vertical="top" wrapText="1"/>
    </x:xf>
    <x:xf numFmtId="0" fontId="5" fillId="6" borderId="3" xfId="0" applyNumberFormat="1" applyFont="1" applyFill="1" applyBorder="1" applyAlignment="1">
      <x:alignment horizontal="center" vertical="top" wrapText="1"/>
    </x:xf>
    <x:xf numFmtId="0" fontId="5" fillId="7" borderId="3" xfId="0" applyNumberFormat="1" applyFont="1" applyFill="1" applyBorder="1" applyAlignment="1">
      <x:alignment horizontal="center" vertical="top" wrapText="1"/>
    </x:xf>
    <x:xf numFmtId="0" fontId="5" fillId="7" borderId="4" xfId="0" applyNumberFormat="1" applyFont="1" applyFill="1" applyBorder="1" applyAlignment="1">
      <x:alignment horizontal="center" vertical="top" wrapText="1"/>
    </x:xf>
    <x:xf numFmtId="200" fontId="4" fillId="0" borderId="2" xfId="0" applyNumberFormat="1" applyFont="1" applyFill="1" applyBorder="1" applyAlignment="1">
      <x:alignment horizontal="left" vertical="top" wrapText="1"/>
    </x:xf>
    <x:xf numFmtId="200" fontId="4" fillId="0" borderId="3" xfId="0" applyNumberFormat="1" applyFont="1" applyFill="1" applyBorder="1" applyAlignment="1">
      <x:alignment horizontal="left" vertical="top" wrapText="1"/>
    </x:xf>
    <x:xf numFmtId="200" fontId="4" fillId="0" borderId="4" xfId="0" applyNumberFormat="1" applyFont="1" applyFill="1" applyBorder="1" applyAlignment="1">
      <x:alignment horizontal="left" vertical="top" wrapText="1"/>
    </x:xf>
    <x:xf numFmtId="200" fontId="6" fillId="0" borderId="2" xfId="0" applyNumberFormat="1" applyFont="1" applyFill="1" applyBorder="1" applyAlignment="1">
      <x:alignment horizontal="left" vertical="top" wrapText="1"/>
    </x:xf>
    <x:xf numFmtId="200" fontId="6" fillId="0" borderId="3" xfId="0" applyNumberFormat="1" applyFont="1" applyFill="1" applyBorder="1" applyAlignment="1">
      <x:alignment horizontal="left" vertical="top" wrapText="1"/>
    </x:xf>
    <x:xf numFmtId="200" fontId="6" fillId="0" borderId="4" xfId="0" applyNumberFormat="1" applyFont="1" applyFill="1" applyBorder="1" applyAlignment="1">
      <x:alignment horizontal="left" vertical="top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5" xfId="0" applyNumberFormat="1" applyFont="1" applyFill="1" applyBorder="1"/>
    <x:xf numFmtId="0" fontId="7" fillId="8" borderId="6" xfId="0" applyNumberFormat="1" applyFont="1" applyFill="1" applyBorder="1"/>
    <x:xf numFmtId="0" fontId="7" fillId="8" borderId="7" xfId="0" applyNumberFormat="1" applyFont="1" applyFill="1" applyBorder="1"/>
    <x:xf numFmtId="0" fontId="7" fillId="8" borderId="5" xfId="0" applyNumberFormat="1" applyFont="1" applyFill="1" applyBorder="1" applyAlignment="1">
      <x:alignment wrapText="1"/>
    </x:xf>
    <x:xf numFmtId="0" fontId="7" fillId="8" borderId="6" xfId="0" applyNumberFormat="1" applyFont="1" applyFill="1" applyBorder="1" applyAlignment="1">
      <x:alignment wrapText="1"/>
    </x:xf>
    <x:xf numFmtId="0" fontId="7" fillId="8" borderId="7" xfId="0" applyNumberFormat="1" applyFont="1" applyFill="1" applyBorder="1" applyAlignment="1">
      <x:alignment wrapText="1"/>
    </x:xf>
    <x:xf numFmtId="0" fontId="7" fillId="8" borderId="5" xfId="0" applyNumberFormat="1" applyFont="1" applyFill="1" applyBorder="1" applyAlignment="1">
      <x:alignment horizontal="center" wrapText="1"/>
    </x:xf>
    <x:xf numFmtId="0" fontId="7" fillId="8" borderId="6" xfId="0" applyNumberFormat="1" applyFont="1" applyFill="1" applyBorder="1" applyAlignment="1">
      <x:alignment horizontal="center" wrapText="1"/>
    </x:xf>
    <x:xf numFmtId="0" fontId="7" fillId="8" borderId="7" xfId="0" applyNumberFormat="1" applyFont="1" applyFill="1" applyBorder="1" applyAlignment="1">
      <x:alignment horizontal="center" wrapText="1"/>
    </x:xf>
    <x:xf numFmtId="0" fontId="7" fillId="8" borderId="5" xfId="0" applyNumberFormat="1" applyFont="1" applyFill="1" applyBorder="1" applyAlignment="1">
      <x:alignment horizontal="center" vertical="center" wrapText="1"/>
    </x:xf>
    <x:xf numFmtId="0" fontId="7" fillId="8" borderId="6" xfId="0" applyNumberFormat="1" applyFont="1" applyFill="1" applyBorder="1" applyAlignment="1">
      <x:alignment horizontal="center" vertical="center" wrapText="1"/>
    </x:xf>
    <x:xf numFmtId="0" fontId="7" fillId="8" borderId="7" xfId="0" applyNumberFormat="1" applyFont="1" applyFill="1" applyBorder="1" applyAlignment="1">
      <x:alignment horizontal="center" vertical="center" wrapText="1"/>
    </x:xf>
    <x:xf numFmtId="0" fontId="8" fillId="8" borderId="5" xfId="0" applyNumberFormat="1" applyFont="1" applyFill="1" applyBorder="1" applyAlignment="1">
      <x:alignment horizontal="center" vertical="center" wrapText="1"/>
    </x:xf>
    <x:xf numFmtId="0" fontId="8" fillId="8" borderId="6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0" fillId="4" borderId="0" xfId="0" applyNumberFormat="1" applyFont="1" applyFill="1" applyBorder="1"/>
    <x:xf numFmtId="0" fontId="10" fillId="4" borderId="5" xfId="0" applyNumberFormat="1" applyFont="1" applyFill="1" applyBorder="1"/>
    <x:xf numFmtId="0" fontId="10" fillId="4" borderId="7" xfId="0" applyNumberFormat="1" applyFont="1" applyFill="1" applyBorder="1"/>
    <x:xf numFmtId="0" fontId="10" fillId="4" borderId="5" xfId="0" applyNumberFormat="1" applyFont="1" applyFill="1" applyBorder="1" applyAlignment="1">
      <x:alignment horizontal="center"/>
    </x:xf>
    <x:xf numFmtId="0" fontId="10" fillId="4" borderId="7" xfId="0" applyNumberFormat="1" applyFont="1" applyFill="1" applyBorder="1" applyAlignment="1">
      <x:alignment horizontal="center"/>
    </x:xf>
    <x:xf numFmtId="0" fontId="10" fillId="4" borderId="5" xfId="0" applyNumberFormat="1" applyFont="1" applyFill="1" applyBorder="1" applyAlignment="1">
      <x:alignment horizontal="center" vertical="center"/>
    </x:xf>
    <x:xf numFmtId="0" fontId="10" fillId="4" borderId="7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11" fillId="5" borderId="0" xfId="0" applyNumberFormat="1" applyFont="1" applyFill="1" applyBorder="1"/>
    <x:xf numFmtId="0" fontId="11" fillId="5" borderId="5" xfId="0" applyNumberFormat="1" applyFont="1" applyFill="1" applyBorder="1"/>
    <x:xf numFmtId="0" fontId="11" fillId="5" borderId="7" xfId="0" applyNumberFormat="1" applyFont="1" applyFill="1" applyBorder="1"/>
    <x:xf numFmtId="0" fontId="11" fillId="5" borderId="5" xfId="0" applyNumberFormat="1" applyFont="1" applyFill="1" applyBorder="1" applyAlignment="1">
      <x:alignment horizontal="center"/>
    </x:xf>
    <x:xf numFmtId="0" fontId="11" fillId="5" borderId="7" xfId="0" applyNumberFormat="1" applyFont="1" applyFill="1" applyBorder="1" applyAlignment="1">
      <x:alignment horizontal="center"/>
    </x:xf>
    <x:xf numFmtId="0" fontId="11" fillId="5" borderId="5" xfId="0" applyNumberFormat="1" applyFont="1" applyFill="1" applyBorder="1" applyAlignment="1">
      <x:alignment horizontal="center" vertical="center"/>
    </x:xf>
    <x:xf numFmtId="0" fontId="11" fillId="5" borderId="7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12" fillId="6" borderId="0" xfId="0" applyNumberFormat="1" applyFont="1" applyFill="1" applyBorder="1"/>
    <x:xf numFmtId="0" fontId="12" fillId="6" borderId="5" xfId="0" applyNumberFormat="1" applyFont="1" applyFill="1" applyBorder="1"/>
    <x:xf numFmtId="0" fontId="12" fillId="6" borderId="7" xfId="0" applyNumberFormat="1" applyFont="1" applyFill="1" applyBorder="1"/>
    <x:xf numFmtId="0" fontId="12" fillId="6" borderId="5" xfId="0" applyNumberFormat="1" applyFont="1" applyFill="1" applyBorder="1" applyAlignment="1">
      <x:alignment horizontal="center"/>
    </x:xf>
    <x:xf numFmtId="0" fontId="12" fillId="6" borderId="7" xfId="0" applyNumberFormat="1" applyFont="1" applyFill="1" applyBorder="1" applyAlignment="1">
      <x:alignment horizontal="center"/>
    </x:xf>
    <x:xf numFmtId="0" fontId="12" fillId="6" borderId="5" xfId="0" applyNumberFormat="1" applyFont="1" applyFill="1" applyBorder="1" applyAlignment="1">
      <x:alignment horizontal="center" vertical="center"/>
    </x:xf>
    <x:xf numFmtId="0" fontId="12" fillId="6" borderId="7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5" xfId="0" applyNumberFormat="1" applyFont="1" applyFill="1" applyBorder="1"/>
    <x:xf numFmtId="0" fontId="13" fillId="7" borderId="7" xfId="0" applyNumberFormat="1" applyFont="1" applyFill="1" applyBorder="1"/>
    <x:xf numFmtId="0" fontId="13" fillId="7" borderId="5" xfId="0" applyNumberFormat="1" applyFont="1" applyFill="1" applyBorder="1" applyAlignment="1">
      <x:alignment horizontal="center"/>
    </x:xf>
    <x:xf numFmtId="0" fontId="13" fillId="7" borderId="7" xfId="0" applyNumberFormat="1" applyFont="1" applyFill="1" applyBorder="1" applyAlignment="1">
      <x:alignment horizontal="center"/>
    </x:xf>
    <x:xf numFmtId="0" fontId="13" fillId="7" borderId="5" xfId="0" applyNumberFormat="1" applyFont="1" applyFill="1" applyBorder="1" applyAlignment="1">
      <x:alignment horizontal="center" vertical="center"/>
    </x:xf>
    <x:xf numFmtId="0" fontId="13" fillId="7" borderId="7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0" fontId="7" fillId="0" borderId="0" xfId="0" applyNumberFormat="1" applyFont="1" applyFill="1" applyBorder="1"/>
    <x:xf numFmtId="201" fontId="7" fillId="0" borderId="0" xfId="0" applyNumberFormat="1" applyFont="1" applyFill="1" applyBorder="1"/>
    <x:xf numFmtId="0" fontId="7" fillId="0" borderId="8" xfId="0" applyNumberFormat="1" applyFont="1" applyFill="1" applyBorder="1"/>
    <x:xf numFmtId="201" fontId="7" fillId="0" borderId="8" xfId="0" applyNumberFormat="1" applyFont="1" applyFill="1" applyBorder="1"/>
    <x:xf numFmtId="0" fontId="7" fillId="0" borderId="8" xfId="0" applyNumberFormat="1" applyFont="1" applyFill="1" applyBorder="1" applyAlignment="1">
      <x:alignment wrapText="1"/>
    </x:xf>
    <x:xf numFmtId="201" fontId="7" fillId="0" borderId="8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vertical="center" wrapText="1"/>
    </x:xf>
    <x:xf numFmtId="201" fontId="7" fillId="0" borderId="8" xfId="0" applyNumberFormat="1" applyFont="1" applyFill="1" applyBorder="1" applyAlignment="1">
      <x:alignment vertical="center" wrapText="1"/>
    </x:xf>
    <x:xf numFmtId="0" fontId="7" fillId="0" borderId="8" xfId="0" applyNumberFormat="1" applyFont="1" applyFill="1" applyBorder="1" applyAlignment="1">
      <x:alignment horizontal="center" vertical="center" wrapText="1"/>
    </x:xf>
    <x:xf numFmtId="201" fontId="7" fillId="0" borderId="8" xfId="0" applyNumberFormat="1" applyFont="1" applyFill="1" applyBorder="1" applyAlignment="1">
      <x:alignment horizontal="center" vertical="center" wrapText="1"/>
    </x:xf>
    <x:xf numFmtId="0" fontId="7" fillId="10" borderId="8" xfId="0" applyNumberFormat="1" applyFont="1" applyFill="1" applyBorder="1" applyAlignment="1">
      <x:alignment vertical="center" wrapText="1"/>
    </x:xf>
    <x:xf numFmtId="0" fontId="7" fillId="10" borderId="8" xfId="0" applyNumberFormat="1" applyFont="1" applyFill="1" applyBorder="1" applyAlignment="1">
      <x:alignment horizontal="center" vertical="center" wrapText="1"/>
    </x:xf>
    <x:xf numFmtId="201" fontId="7" fillId="10" borderId="8" xfId="0" applyNumberFormat="1" applyFont="1" applyFill="1" applyBorder="1" applyAlignment="1">
      <x:alignment horizontal="center" vertical="center" wrapText="1"/>
    </x:xf>
    <x:xf numFmtId="0" fontId="7" fillId="11" borderId="8" xfId="0" applyNumberFormat="1" applyFont="1" applyFill="1" applyBorder="1" applyAlignment="1">
      <x:alignment vertical="center" wrapText="1"/>
    </x:xf>
    <x:xf numFmtId="0" fontId="7" fillId="11" borderId="8" xfId="0" applyNumberFormat="1" applyFont="1" applyFill="1" applyBorder="1" applyAlignment="1">
      <x:alignment horizontal="center" vertical="center" wrapText="1"/>
    </x:xf>
    <x:xf numFmtId="201" fontId="7" fillId="11" borderId="8" xfId="0" applyNumberFormat="1" applyFont="1" applyFill="1" applyBorder="1" applyAlignment="1">
      <x:alignment horizontal="center"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horizontal="center" vertical="center" wrapText="1"/>
    </x:xf>
    <x:xf numFmtId="201" fontId="7" fillId="12" borderId="8" xfId="0" applyNumberFormat="1" applyFont="1" applyFill="1" applyBorder="1" applyAlignment="1">
      <x:alignment horizontal="center" vertical="center" wrapText="1"/>
    </x:xf>
    <x:xf numFmtId="0" fontId="7" fillId="13" borderId="8" xfId="0" applyNumberFormat="1" applyFont="1" applyFill="1" applyBorder="1" applyAlignment="1">
      <x:alignment vertical="center" wrapText="1"/>
    </x:xf>
    <x:xf numFmtId="0" fontId="7" fillId="13" borderId="8" xfId="0" applyNumberFormat="1" applyFont="1" applyFill="1" applyBorder="1" applyAlignment="1">
      <x:alignment horizontal="center" vertical="center" wrapText="1"/>
    </x:xf>
    <x:xf numFmtId="201" fontId="7" fillId="13" borderId="8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/>
    <x:xf numFmtId="0" fontId="7" fillId="14" borderId="0" xfId="0" applyNumberFormat="1" applyFont="1" applyFill="1" applyBorder="1"/>
    <x:xf numFmtId="0" fontId="7" fillId="14" borderId="2" xfId="0" applyNumberFormat="1" applyFont="1" applyFill="1" applyBorder="1"/>
    <x:xf numFmtId="0" fontId="7" fillId="14" borderId="2" xfId="0" applyNumberFormat="1" applyFont="1" applyFill="1" applyBorder="1" applyAlignment="1">
      <x:alignment wrapText="1"/>
    </x:xf>
    <x:xf numFmtId="0" fontId="7" fillId="14" borderId="2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2" xfId="0" applyNumberFormat="1" applyFont="1" applyFill="1" applyBorder="1"/>
    <x:xf numFmtId="0" fontId="7" fillId="15" borderId="2" xfId="0" applyNumberFormat="1" applyFont="1" applyFill="1" applyBorder="1" applyAlignment="1">
      <x:alignment wrapText="1"/>
    </x:xf>
    <x:xf numFmtId="0" fontId="7" fillId="15" borderId="2" xfId="0" applyNumberFormat="1" applyFont="1" applyFill="1" applyBorder="1" applyAlignment="1">
      <x:alignment vertical="center" wrapText="1"/>
    </x:xf>
    <x:xf numFmtId="0" fontId="14" fillId="13" borderId="8" xfId="0" applyNumberFormat="1" applyFont="1" applyFill="1" applyBorder="1" applyAlignment="1">
      <x:alignment vertical="center" wrapText="1"/>
    </x:xf>
    <x:xf numFmtId="0" fontId="14" fillId="13" borderId="8" xfId="0" applyNumberFormat="1" applyFont="1" applyFill="1" applyBorder="1" applyAlignment="1">
      <x:alignment horizontal="center" vertical="center" wrapText="1"/>
    </x:xf>
    <x:xf numFmtId="0" fontId="6" fillId="0" borderId="8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D92D20"/>
      </x:font>
      <x:fill>
        <x:patternFill patternType="solid">
          <x:bgColor rgb="FFFFF1F0"/>
        </x:patternFill>
      </x:fill>
    </x:dxf>
    <x:dxf>
      <x:font>
        <x:b/>
        <x:color rgb="FF16865B"/>
      </x:font>
      <x:fill>
        <x:patternFill patternType="solid">
          <x:bgColor rgb="FFE8F7EE"/>
        </x:patternFill>
      </x:fill>
    </x:dxf>
    <x:dxf>
      <x:font>
        <x:b/>
        <x:color rgb="FFB54708"/>
      </x:font>
      <x:fill>
        <x:patternFill patternType="solid">
          <x:bgColor rgb="FFFFF7E6"/>
        </x:patternFill>
      </x:fill>
    </x:dxf>
    <x:dxf>
      <x:font>
        <x:b/>
        <x:color rgb="FFD92D20"/>
      </x:font>
      <x:fill>
        <x:patternFill patternType="solid">
          <x:bgColor rgb="FFFFF1F0"/>
        </x:patternFill>
      </x:fill>
    </x:dxf>
    <x:dxf>
      <x:font>
        <x:b/>
        <x:color rgb="FF4B5563"/>
      </x:font>
      <x:fill>
        <x:patternFill patternType="solid">
          <x:bgColor rgb="FFF3F4F6"/>
        </x:patternFill>
      </x:fill>
    </x:dxf>
    <x:dxf>
      <x:font>
        <x:b/>
        <x:color rgb="FF16865B"/>
      </x:font>
      <x:fill>
        <x:patternFill patternType="solid">
          <x:bgColor rgb="FFE8F7EE"/>
        </x:patternFill>
      </x:fill>
    </x:dxf>
    <x:dxf>
      <x:font>
        <x:b/>
        <x:color rgb="FFB54708"/>
      </x:font>
      <x:fill>
        <x:patternFill patternType="solid">
          <x:bgColor rgb="FFFFF7E6"/>
        </x:patternFill>
      </x:fill>
    </x:dxf>
    <x:dxf>
      <x:font>
        <x:b/>
        <x:color rgb="FFD92D20"/>
      </x:font>
      <x:fill>
        <x:patternFill patternType="solid">
          <x:bgColor rgb="FFFFF1F0"/>
        </x:patternFill>
      </x:fill>
    </x:dxf>
    <x:dxf>
      <x:font>
        <x:color rgb="FFD92D20"/>
      </x:font>
      <x:fill>
        <x:patternFill patternType="solid">
          <x:bgColor rgb="FFFFF1F0"/>
        </x:patternFill>
      </x:fill>
    </x:dxf>
    <x:dxf>
      <x:font>
        <x:b/>
        <x:color rgb="FFD92D20"/>
      </x:font>
      <x:fill>
        <x:patternFill patternType="solid">
          <x:bgColor rgb="FFFFF1F0"/>
        </x:patternFill>
      </x:fill>
    </x:dxf>
    <x:dxf>
      <x:font>
        <x:b/>
        <x:color rgb="FFB54708"/>
      </x:font>
      <x:fill>
        <x:patternFill patternType="solid">
          <x:bgColor rgb="FFFFF7E6"/>
        </x:patternFill>
      </x:fill>
    </x:dxf>
    <x:dxf>
      <x:font>
        <x:b/>
        <x:color rgb="FF1677FF"/>
      </x:font>
      <x:fill>
        <x:patternFill patternType="solid">
          <x:bgColor rgb="FFEAF4FF"/>
        </x:patternFill>
      </x:fill>
    </x:dxf>
    <x:dxf>
      <x:font>
        <x:b/>
        <x:color rgb="FFD92D20"/>
      </x:font>
      <x:fill>
        <x:patternFill patternType="solid">
          <x:bgColor rgb="FFFFF1F0"/>
        </x:patternFill>
      </x:fill>
    </x:dxf>
    <x:dxf>
      <x:font>
        <x:b/>
        <x:color rgb="FF16865B"/>
      </x:font>
      <x:fill>
        <x:patternFill patternType="solid">
          <x:bgColor rgb="FFE8F7EE"/>
        </x:patternFill>
      </x:fill>
    </x:dxf>
    <x:dxf>
      <x:font>
        <x:b/>
        <x:color rgb="FF16865B"/>
      </x:font>
      <x:fill>
        <x:patternFill patternType="solid">
          <x:bgColor rgb="FFE8F7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090cd16cc84441" /><Relationship Type="http://schemas.openxmlformats.org/officeDocument/2006/relationships/theme" Target="/xl/theme/theme1.xml" Id="R89b7ed93d8384338" /><Relationship Type="http://schemas.openxmlformats.org/officeDocument/2006/relationships/sharedStrings" Target="/xl/sharedStrings.xml" Id="R11a8cdea58024248" /><Relationship Type="http://schemas.openxmlformats.org/officeDocument/2006/relationships/worksheet" Target="/xl/worksheets/sheet1.xml" Id="R777fe7e99d3341c4" /><Relationship Type="http://schemas.openxmlformats.org/officeDocument/2006/relationships/worksheet" Target="/xl/worksheets/sheet2.xml" Id="R308f6d93f0004f23" /><Relationship Type="http://schemas.openxmlformats.org/officeDocument/2006/relationships/worksheet" Target="/xl/worksheets/sheet3.xml" Id="R76d98b5385084001" /><Relationship Type="http://schemas.openxmlformats.org/officeDocument/2006/relationships/worksheet" Target="/xl/worksheets/sheet4.xml" Id="Rc421c43a5d984cd4" /></Relationships>
</file>

<file path=xl/tables/table1.xml><?xml version="1.0" encoding="utf-8"?>
<x:table xmlns:x="http://schemas.openxmlformats.org/spreadsheetml/2006/main" id="1" name="RoleFeatureMatrix" displayName="RoleFeatureMatrix" ref="A4:K40" headerRowCount="1" totalsRowCount="0" totalsRowShown="0">
  <x:tableColumns count="11">
    <x:tableColumn id="1" name="入口ID"/>
    <x:tableColumn id="2" name="角色"/>
    <x:tableColumn id="3" name="序号"/>
    <x:tableColumn id="4" name="功能"/>
    <x:tableColumn id="5" name="描述"/>
    <x:tableColumn id="6" name="入口位置"/>
    <x:tableColumn id="7" name="现网状态"/>
    <x:tableColumn id="8" name="物料状态"/>
    <x:tableColumn id="9" name="原型处理"/>
    <x:tableColumn id="10" name="缺口ID"/>
    <x:tableColumn id="11" name="证据日期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bservedFeedback" displayName="ObservedFeedback" ref="A4:K30" headerRowCount="1" totalsRowCount="0" totalsRowShown="0">
  <x:tableColumns count="11">
    <x:tableColumn id="1" name="关联入口ID"/>
    <x:tableColumn id="2" name="页面版本"/>
    <x:tableColumn id="3" name="入口层级"/>
    <x:tableColumn id="4" name="点击路径"/>
    <x:tableColumn id="5" name="反馈类型"/>
    <x:tableColumn id="6" name="现网状态"/>
    <x:tableColumn id="7" name="完整回复样例/展示结果"/>
    <x:tableColumn id="8" name="脱敏 URL"/>
    <x:tableColumn id="9" name="跳转结果"/>
    <x:tableColumn id="10" name="异常说明"/>
    <x:tableColumn id="11" name="证据日期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ustomerGaps" displayName="CustomerGaps" ref="A4:J34" headerRowCount="1" totalsRowCount="0" totalsRowShown="0">
  <x:tableColumns count="10">
    <x:tableColumn id="1" name="缺口ID"/>
    <x:tableColumn id="2" name="分类"/>
    <x:tableColumn id="3" name="缺失物料/问题"/>
    <x:tableColumn id="4" name="需要客户提供的内容"/>
    <x:tableColumn id="5" name="影响角色"/>
    <x:tableColumn id="6" name="关联入口ID"/>
    <x:tableColumn id="7" name="建议格式"/>
    <x:tableColumn id="8" name="优先级"/>
    <x:tableColumn id="9" name="确认状态"/>
    <x:tableColumn id="10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fef49990215416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6cae7e9f3054ee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117e35acfee4c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6" hidden="0" customWidth="1"/>
    <x:col min="4" max="4" width="28" hidden="0" customWidth="1"/>
    <x:col min="5" max="5" width="18" hidden="0" customWidth="1"/>
    <x:col min="6" max="6" width="12" hidden="0" customWidth="1"/>
    <x:col min="7" max="7" width="16" hidden="0" customWidth="1"/>
    <x:col min="8" max="8" width="24" hidden="0" customWidth="1"/>
  </x:cols>
  <x:sheetData>
    <x:row r="1" ht="35" customHeight="1">
      <x:c r="A1" s="3" t="str">
        <x:v>会展中心四角色智能体—功能与反馈缺口总览</x:v>
      </x:c>
      <x:c r="B1" s="3"/>
      <x:c r="C1" s="3"/>
      <x:c r="D1" s="3"/>
      <x:c r="E1" s="3"/>
      <x:c r="F1" s="3"/>
      <x:c r="G1" s="3"/>
      <x:c r="H1" s="3"/>
    </x:row>
    <x:row r="2" ht="31" customHeight="1">
      <x:c r="A2" s="7" t="str">
        <x:v>评审版 v1.0｜检查日期 2026-08-28｜源 Excel 第一张表为唯一角色功能矩阵。</x:v>
      </x:c>
      <x:c r="B2" s="7"/>
      <x:c r="C2" s="7"/>
      <x:c r="D2" s="7"/>
      <x:c r="E2" s="7"/>
      <x:c r="F2" s="7"/>
      <x:c r="G2" s="7"/>
      <x:c r="H2" s="7"/>
    </x:row>
    <x:row r="4" ht="36" customHeight="1">
      <x:c r="A4" s="61" t="str">
        <x:v>检查日期</x:v>
      </x:c>
      <x:c r="B4" s="59" t="str">
        <x:v>2026-08-28</x:v>
      </x:c>
      <x:c r="C4" s="62" t="str">
        <x:v>角色数</x:v>
      </x:c>
      <x:c r="D4" s="59" t="n">
        <x:v>4</x:v>
      </x:c>
      <x:c r="E4" s="62" t="str">
        <x:v>角色入口实例</x:v>
      </x:c>
      <x:c r="F4" s="59" t="n">
        <x:v>36</x:v>
      </x:c>
      <x:c r="G4" s="62" t="str">
        <x:v>不同功能名</x:v>
      </x:c>
      <x:c r="H4" s="60" t="n">
        <x:v>23</x:v>
      </x:c>
    </x:row>
    <x:row r="6" ht="25" customHeight="1">
      <x:c r="A6" s="65" t="str">
        <x:v>四角色入口实例数</x:v>
      </x:c>
      <x:c r="B6" s="65"/>
      <x:c r="C6" s="65"/>
      <x:c r="D6" s="65"/>
      <x:c r="E6" s="65"/>
      <x:c r="F6" s="65"/>
      <x:c r="G6" s="65"/>
      <x:c r="H6" s="65"/>
    </x:row>
    <x:row r="7" ht="38" customHeight="1">
      <x:c r="A7" s="72" t="str">
        <x:v>普通用户</x:v>
      </x:c>
      <x:c r="B7" s="73" t="n">
        <x:f>COUNTIF('角色功能矩阵'!$B$5:$B$40,A7)</x:f>
        <x:v>10</x:v>
      </x:c>
      <x:c r="C7" s="80" t="str">
        <x:v>展商</x:v>
      </x:c>
      <x:c r="D7" s="81" t="n">
        <x:f>COUNTIF('角色功能矩阵'!$B$5:$B$40,C7)</x:f>
        <x:v>10</x:v>
      </x:c>
      <x:c r="E7" s="88" t="str">
        <x:v>客商</x:v>
      </x:c>
      <x:c r="F7" s="89" t="n">
        <x:f>COUNTIF('角色功能矩阵'!$B$5:$B$40,E7)</x:f>
        <x:v>9</x:v>
      </x:c>
      <x:c r="G7" s="96" t="str">
        <x:v>媒体</x:v>
      </x:c>
      <x:c r="H7" s="97" t="n">
        <x:f>COUNTIF('角色功能矩阵'!$B$5:$B$40,G7)</x:f>
        <x:v>7</x:v>
      </x:c>
    </x:row>
    <x:row r="9" ht="25" customHeight="1">
      <x:c r="A9" s="65" t="str">
        <x:v>现网状态统计</x:v>
      </x:c>
      <x:c r="B9" s="65"/>
      <x:c r="C9" s="65"/>
      <x:c r="D9" s="65"/>
      <x:c r="E9" s="65" t="str">
        <x:v>物料状态统计</x:v>
      </x:c>
      <x:c r="F9" s="65"/>
      <x:c r="G9" s="65"/>
      <x:c r="H9" s="65"/>
    </x:row>
    <x:row r="10" ht="31" customHeight="1">
      <x:c r="A10" s="109" t="str">
        <x:v>可复用</x:v>
      </x:c>
      <x:c r="B10" s="110" t="n">
        <x:f>COUNTIF('角色功能矩阵'!$G$5:$G$40,A10)</x:f>
        <x:v>10</x:v>
      </x:c>
      <x:c r="C10" s="111" t="n">
        <x:f>B10/$B$14</x:f>
        <x:v>0.2777777777777778</x:v>
      </x:c>
      <x:c r="D10" s="109" t="str">
        <x:v>已验证且可稳定演示</x:v>
      </x:c>
      <x:c r="E10" s="109" t="str">
        <x:v>已确认</x:v>
      </x:c>
      <x:c r="F10" s="110" t="n">
        <x:f>COUNTIF('角色功能矩阵'!$H$5:$H$40,E10)</x:f>
        <x:v>2</x:v>
      </x:c>
      <x:c r="G10" s="111" t="n">
        <x:f>F10/$F$13</x:f>
        <x:v>0.05555555555555555</x:v>
      </x:c>
      <x:c r="H10" s="109" t="str">
        <x:v>物料可直接用于原型</x:v>
      </x:c>
    </x:row>
    <x:row r="11" ht="31" customHeight="1">
      <x:c r="A11" s="112" t="str">
        <x:v>部分可复用</x:v>
      </x:c>
      <x:c r="B11" s="113" t="n">
        <x:f>COUNTIF('角色功能矩阵'!$G$5:$G$40,A11)</x:f>
        <x:v>11</x:v>
      </x:c>
      <x:c r="C11" s="114" t="n">
        <x:f>B11/$B$14</x:f>
        <x:v>0.3055555555555556</x:v>
      </x:c>
      <x:c r="D11" s="112" t="str">
        <x:v>交互外壳或部分内容可复用</x:v>
      </x:c>
      <x:c r="E11" s="112" t="str">
        <x:v>部分具备</x:v>
      </x:c>
      <x:c r="F11" s="113" t="n">
        <x:f>COUNTIF('角色功能矩阵'!$H$5:$H$40,E11)</x:f>
        <x:v>19</x:v>
      </x:c>
      <x:c r="G11" s="114" t="n">
        <x:f>F11/$F$13</x:f>
        <x:v>0.5277777777777778</x:v>
      </x:c>
      <x:c r="H11" s="112" t="str">
        <x:v>有已知内容，仍需补齐/复核</x:v>
      </x:c>
    </x:row>
    <x:row r="12" ht="31" customHeight="1">
      <x:c r="A12" s="115" t="str">
        <x:v>不可复用</x:v>
      </x:c>
      <x:c r="B12" s="116" t="n">
        <x:f>COUNTIF('角色功能矩阵'!$G$5:$G$40,A12)</x:f>
        <x:v>4</x:v>
      </x:c>
      <x:c r="C12" s="117" t="n">
        <x:f>B12/$B$14</x:f>
        <x:v>0.1111111111111111</x:v>
      </x:c>
      <x:c r="D12" s="115" t="str">
        <x:v>地址/反馈异常，不应直接沿用</x:v>
      </x:c>
      <x:c r="E12" s="115" t="str">
        <x:v>待客户补充</x:v>
      </x:c>
      <x:c r="F12" s="116" t="n">
        <x:f>COUNTIF('角色功能矩阵'!$H$5:$H$40,E12)</x:f>
        <x:v>15</x:v>
      </x:c>
      <x:c r="G12" s="117" t="n">
        <x:f>F12/$F$13</x:f>
        <x:v>0.4166666666666667</x:v>
      </x:c>
      <x:c r="H12" s="115" t="str">
        <x:v>缺少关键输入或正式物料</x:v>
      </x:c>
    </x:row>
    <x:row r="13" ht="31" customHeight="1">
      <x:c r="A13" s="118" t="str">
        <x:v>未实测</x:v>
      </x:c>
      <x:c r="B13" s="119" t="n">
        <x:f>COUNTIF('角色功能矩阵'!$G$5:$G$40,A13)</x:f>
        <x:v>11</x:v>
      </x:c>
      <x:c r="C13" s="120" t="n">
        <x:f>B13/$B$14</x:f>
        <x:v>0.3055555555555556</x:v>
      </x:c>
      <x:c r="D13" s="118" t="str">
        <x:v>未经页面证据验证，不推断为不存在</x:v>
      </x:c>
      <x:c r="E13" s="118" t="str">
        <x:v>合计</x:v>
      </x:c>
      <x:c r="F13" s="119" t="n">
        <x:f>SUM(F10:F12)</x:f>
        <x:v>36</x:v>
      </x:c>
      <x:c r="G13" s="120" t="n">
        <x:f>SUM(G10:G12)</x:f>
        <x:v>1</x:v>
      </x:c>
      <x:c r="H13" s="118" t="str">
        <x:v>应为 36 个角色入口实例</x:v>
      </x:c>
    </x:row>
    <x:row r="14" ht="31" customHeight="1">
      <x:c r="A14" s="118" t="str">
        <x:v>合计</x:v>
      </x:c>
      <x:c r="B14" s="119" t="n">
        <x:f>SUM(B10:B13)</x:f>
        <x:v>36</x:v>
      </x:c>
      <x:c r="C14" s="120" t="n">
        <x:f>SUM(C10:C13)</x:f>
        <x:v>1</x:v>
      </x:c>
      <x:c r="D14" s="118" t="str">
        <x:v>应为 36 个角色入口实例</x:v>
      </x:c>
      <x:c r="E14" s="105"/>
      <x:c r="F14" s="105"/>
      <x:c r="G14" s="105"/>
      <x:c r="H14" s="105"/>
    </x:row>
    <x:row r="16" ht="25" customHeight="1">
      <x:c r="A16" s="65" t="str">
        <x:v>数据质量校验</x:v>
      </x:c>
      <x:c r="B16" s="65"/>
      <x:c r="C16" s="65"/>
      <x:c r="D16" s="65"/>
      <x:c r="E16" s="65"/>
      <x:c r="F16" s="65"/>
      <x:c r="G16" s="65"/>
      <x:c r="H16" s="65"/>
    </x:row>
    <x:row r="17" ht="33" customHeight="1">
      <x:c r="A17" s="12" t="str">
        <x:v>检查项</x:v>
      </x:c>
      <x:c r="B17" s="12" t="str">
        <x:v>实际值</x:v>
      </x:c>
      <x:c r="C17" s="12" t="str">
        <x:v>预期值</x:v>
      </x:c>
      <x:c r="D17" s="12" t="str">
        <x:v>结果</x:v>
      </x:c>
      <x:c r="E17" s="12" t="str">
        <x:v>检查项</x:v>
      </x:c>
      <x:c r="F17" s="12" t="str">
        <x:v>实际值</x:v>
      </x:c>
      <x:c r="G17" s="12" t="str">
        <x:v>预期值</x:v>
      </x:c>
      <x:c r="H17" s="12" t="str">
        <x:v>结果</x:v>
      </x:c>
    </x:row>
    <x:row r="18" ht="29" customHeight="1">
      <x:c r="A18" s="105" t="str">
        <x:v>入口ID数</x:v>
      </x:c>
      <x:c r="B18" s="107" t="n">
        <x:f>COUNTA('角色功能矩阵'!$A$5:$A$40)</x:f>
        <x:v>36</x:v>
      </x:c>
      <x:c r="C18" s="107" t="n">
        <x:v>36</x:v>
      </x:c>
      <x:c r="D18" s="107" t="str">
        <x:f>IF(B18=C18,"通过","检查")</x:f>
        <x:v>通过</x:v>
      </x:c>
      <x:c r="E18" s="105" t="str">
        <x:v>入口分区数</x:v>
      </x:c>
      <x:c r="F18" s="107" t="n">
        <x:f>COUNTIF('角色功能矩阵'!$F$5:$F$40,"上方图标区")+COUNTIF('角色功能矩阵'!$F$5:$F$40,"输入框快捷区")</x:f>
        <x:v>36</x:v>
      </x:c>
      <x:c r="G18" s="107" t="n">
        <x:v>36</x:v>
      </x:c>
      <x:c r="H18" s="107" t="str">
        <x:f>IF(F18=G18,"通过","检查")</x:f>
        <x:v>通过</x:v>
      </x:c>
    </x:row>
    <x:row r="19" ht="29" customHeight="1">
      <x:c r="A19" s="105" t="str">
        <x:v>角色行数</x:v>
      </x:c>
      <x:c r="B19" s="107" t="n">
        <x:f>COUNTA('角色功能矩阵'!$B$5:$B$40)</x:f>
        <x:v>36</x:v>
      </x:c>
      <x:c r="C19" s="107" t="n">
        <x:v>36</x:v>
      </x:c>
      <x:c r="D19" s="107" t="str">
        <x:f>IF(B19=C19,"通过","检查")</x:f>
        <x:v>通过</x:v>
      </x:c>
      <x:c r="E19" s="105" t="str">
        <x:v>反馈记录数</x:v>
      </x:c>
      <x:c r="F19" s="107" t="n">
        <x:f>COUNTA('现网点击反馈'!$D$5:$D$30)</x:f>
        <x:v>26</x:v>
      </x:c>
      <x:c r="G19" s="107" t="n">
        <x:v>26</x:v>
      </x:c>
      <x:c r="H19" s="107" t="str">
        <x:f>IF(F19=G19,"通过","检查")</x:f>
        <x:v>通过</x:v>
      </x:c>
    </x:row>
    <x:row r="20" ht="29" customHeight="1">
      <x:c r="A20" s="105" t="str">
        <x:v>缺口记录数</x:v>
      </x:c>
      <x:c r="B20" s="107" t="n">
        <x:f>COUNTA('待客户补充'!$A$5:$A$34)</x:f>
        <x:v>30</x:v>
      </x:c>
      <x:c r="C20" s="107" t="n">
        <x:v>30</x:v>
      </x:c>
      <x:c r="D20" s="107" t="str">
        <x:f>IF(B20=C20,"通过","检查")</x:f>
        <x:v>通过</x:v>
      </x:c>
      <x:c r="E20" s="105" t="str">
        <x:v>不同功能名</x:v>
      </x:c>
      <x:c r="F20" s="107" t="n">
        <x:v>23</x:v>
      </x:c>
      <x:c r="G20" s="107" t="n">
        <x:v>23</x:v>
      </x:c>
      <x:c r="H20" s="107" t="str">
        <x:f>IF(F20=G20,"通过","检查")</x:f>
        <x:v>通过</x:v>
      </x:c>
    </x:row>
    <x:row r="22" ht="25" customHeight="1">
      <x:c r="A22" s="65" t="str">
        <x:v>主要现网问题</x:v>
      </x:c>
      <x:c r="B22" s="65"/>
      <x:c r="C22" s="65"/>
      <x:c r="D22" s="65"/>
      <x:c r="E22" s="65"/>
      <x:c r="F22" s="65"/>
      <x:c r="G22" s="65"/>
      <x:c r="H22" s="65"/>
    </x:row>
    <x:row r="23" ht="30" customHeight="1">
      <x:c r="A23" s="125" t="str">
        <x:v>1. role=exhibitor 实际显示媒体风格能力，与 Excel 展商功能矩阵不符。</x:v>
      </x:c>
      <x:c r="B23" s="125"/>
      <x:c r="C23" s="125"/>
      <x:c r="D23" s="125"/>
      <x:c r="E23" s="125"/>
      <x:c r="F23" s="125"/>
      <x:c r="G23" s="125"/>
      <x:c r="H23" s="125"/>
    </x:row>
    <x:row r="24" ht="30" customHeight="1">
      <x:c r="A24" s="130" t="str">
        <x:v>2. 公共素材库返回 500 nginx；异常完整 URL、查询参数和鉴权值未保存。</x:v>
      </x:c>
      <x:c r="B24" s="130"/>
      <x:c r="C24" s="130"/>
      <x:c r="D24" s="130"/>
      <x:c r="E24" s="130"/>
      <x:c r="F24" s="130"/>
      <x:c r="G24" s="130"/>
      <x:c r="H24" s="130"/>
    </x:row>
    <x:row r="25" ht="30" customHeight="1">
      <x:c r="A25" s="125" t="str">
        <x:v>3. 一键亮码地址未配置；活动跳转无有效内容。</x:v>
      </x:c>
      <x:c r="B25" s="125"/>
      <x:c r="C25" s="125"/>
      <x:c r="D25" s="125"/>
      <x:c r="E25" s="125"/>
      <x:c r="F25" s="125"/>
      <x:c r="G25" s="125"/>
      <x:c r="H25" s="125"/>
    </x:row>
    <x:row r="26" ht="30" customHeight="1">
      <x:c r="A26" s="130" t="str">
        <x:v>4. 路线按钮交互外壳部分可用，但点击后无新页和可见反馈。</x:v>
      </x:c>
      <x:c r="B26" s="130"/>
      <x:c r="C26" s="130"/>
      <x:c r="D26" s="130"/>
      <x:c r="E26" s="130"/>
      <x:c r="F26" s="130"/>
      <x:c r="G26" s="130"/>
      <x:c r="H26" s="130"/>
    </x:row>
    <x:row r="27" ht="30" customHeight="1">
      <x:c r="A27" s="125" t="str">
        <x:v>5. 数贸在线现网 href 尾部含异常标点；本清单未保存该完整异常 URL。</x:v>
      </x:c>
      <x:c r="B27" s="125"/>
      <x:c r="C27" s="125"/>
      <x:c r="D27" s="125"/>
      <x:c r="E27" s="125"/>
      <x:c r="F27" s="125"/>
      <x:c r="G27" s="125"/>
      <x:c r="H27" s="125"/>
    </x:row>
    <x:row r="28" ht="30" customHeight="1">
      <x:c r="A28" s="130" t="str">
        <x:v>6. 部分地图回复包含内部式指令文案风险，需清理对外文案。</x:v>
      </x:c>
      <x:c r="B28" s="130"/>
      <x:c r="C28" s="130"/>
      <x:c r="D28" s="130"/>
      <x:c r="E28" s="130"/>
      <x:c r="F28" s="130"/>
      <x:c r="G28" s="130"/>
      <x:c r="H28" s="130"/>
    </x:row>
    <x:row r="29" ht="30" customHeight="1">
      <x:c r="A29" s="125" t="str">
        <x:v>7. 客商/媒体专属页面未逐项实测；共用能力仅引用已验证证据，不据此推断专属能力不存在。</x:v>
      </x:c>
      <x:c r="B29" s="125"/>
      <x:c r="C29" s="125"/>
      <x:c r="D29" s="125"/>
      <x:c r="E29" s="125"/>
      <x:c r="F29" s="125"/>
      <x:c r="G29" s="125"/>
      <x:c r="H29" s="125"/>
    </x:row>
    <x:row r="31" ht="25" customHeight="1">
      <x:c r="A31" s="65" t="str">
        <x:v>来源与口径</x:v>
      </x:c>
      <x:c r="B31" s="65"/>
      <x:c r="C31" s="65"/>
      <x:c r="D31" s="65"/>
      <x:c r="E31" s="65"/>
      <x:c r="F31" s="65"/>
      <x:c r="G31" s="65"/>
      <x:c r="H31" s="65"/>
    </x:row>
    <x:row r="32" ht="29" customHeight="1">
      <x:c r="A32" s="132" t="str">
        <x:v>参考矩阵</x:v>
      </x:c>
      <x:c r="B32" s="132"/>
      <x:c r="C32" s="105" t="str">
        <x:v>智能体鉴权20260818四个角色不同功能展示.xlsx（第一张表）</x:v>
      </x:c>
      <x:c r="D32" s="105"/>
      <x:c r="E32" s="105"/>
      <x:c r="F32" s="105"/>
      <x:c r="G32" s="105"/>
      <x:c r="H32" s="105"/>
    </x:row>
    <x:row r="33" ht="29" customHeight="1">
      <x:c r="A33" s="132" t="str">
        <x:v>普通用户页</x:v>
      </x:c>
      <x:c r="B33" s="132"/>
      <x:c r="C33" s="133" t="str">
        <x:v>https://voicehub.commind.com/hzzx/mobile/?role=visitor</x:v>
      </x:c>
      <x:c r="D33" s="133"/>
      <x:c r="E33" s="133"/>
      <x:c r="F33" s="133"/>
      <x:c r="G33" s="133"/>
      <x:c r="H33" s="133"/>
    </x:row>
    <x:row r="34" ht="29" customHeight="1">
      <x:c r="A34" s="132" t="str">
        <x:v>exhibitor 现网页</x:v>
      </x:c>
      <x:c r="B34" s="132"/>
      <x:c r="C34" s="133" t="str">
        <x:v>https://voicehub.commind.com/hzzx/mobile/?role=exhibitor</x:v>
      </x:c>
      <x:c r="D34" s="133"/>
      <x:c r="E34" s="133"/>
      <x:c r="F34" s="133"/>
      <x:c r="G34" s="133"/>
      <x:c r="H34" s="133"/>
    </x:row>
    <x:row r="35" ht="29" customHeight="1">
      <x:c r="A35" s="132" t="str">
        <x:v>证据口径</x:v>
      </x:c>
      <x:c r="B35" s="132"/>
      <x:c r="C35" s="105" t="str">
        <x:v>2026-08-28 实测样例，AI 输出可能变化；未提交表单、未写入外部业务、未测试真实麦克风授权。</x:v>
      </x:c>
      <x:c r="D35" s="105"/>
      <x:c r="E35" s="105"/>
      <x:c r="F35" s="105"/>
      <x:c r="G35" s="105"/>
      <x:c r="H35" s="105"/>
    </x:row>
    <x:row r="36" ht="29" customHeight="1">
      <x:c r="A36" s="132" t="str">
        <x:v>脱敏口径</x:v>
      </x:c>
      <x:c r="B36" s="132"/>
      <x:c r="C36" s="105" t="str">
        <x:v>动态鉴权值统一记为 &lt;已脱敏动态鉴权参数&gt;；不保存真实值、完整异常 URL 或内部式指令原文。</x:v>
      </x:c>
      <x:c r="D36" s="105"/>
      <x:c r="E36" s="105"/>
      <x:c r="F36" s="105"/>
      <x:c r="G36" s="105"/>
      <x:c r="H36" s="105"/>
    </x:row>
  </x:sheetData>
  <x:mergeCells>
    <x:mergeCell ref="A1:H1"/>
    <x:mergeCell ref="A2:H2"/>
    <x:mergeCell ref="A6:H6"/>
    <x:mergeCell ref="A9:D9"/>
    <x:mergeCell ref="E9:H9"/>
    <x:mergeCell ref="A16:H16"/>
    <x:mergeCell ref="A22:H22"/>
    <x:mergeCell ref="A23:H23"/>
    <x:mergeCell ref="A24:H24"/>
    <x:mergeCell ref="A25:H25"/>
    <x:mergeCell ref="A26:H26"/>
    <x:mergeCell ref="A27:H27"/>
    <x:mergeCell ref="A28:H28"/>
    <x:mergeCell ref="A29:H29"/>
    <x:mergeCell ref="A31:H31"/>
    <x:mergeCell ref="A32:B32"/>
    <x:mergeCell ref="C32:H32"/>
    <x:mergeCell ref="A33:B33"/>
    <x:mergeCell ref="C33:H33"/>
    <x:mergeCell ref="A34:B34"/>
    <x:mergeCell ref="C34:H34"/>
    <x:mergeCell ref="A35:B35"/>
    <x:mergeCell ref="C35:H35"/>
    <x:mergeCell ref="A36:B36"/>
    <x:mergeCell ref="C36:H36"/>
  </x:mergeCells>
  <x:conditionalFormatting sqref="D18:D20">
    <x:cfRule type="containsText" dxfId="13" priority="1" operator="containsText" text="通过"/>
  </x:conditionalFormatting>
  <x:conditionalFormatting sqref="H18:H20">
    <x:cfRule type="containsText" dxfId="14" priority="2" operator="containsText" text="通过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2" hidden="0" customWidth="1"/>
    <x:col min="3" max="3" width="7" hidden="0" customWidth="1"/>
    <x:col min="4" max="4" width="15" hidden="0" customWidth="1"/>
    <x:col min="5" max="5" width="36" hidden="0" customWidth="1"/>
    <x:col min="6" max="6" width="17" hidden="0" customWidth="1"/>
    <x:col min="7" max="7" width="15" hidden="0" customWidth="1"/>
    <x:col min="8" max="8" width="16" hidden="0" customWidth="1"/>
    <x:col min="9" max="9" width="50" hidden="0" customWidth="1"/>
    <x:col min="10" max="10" width="19" hidden="0" customWidth="1"/>
    <x:col min="11" max="11" width="22" hidden="0" customWidth="1"/>
  </x:cols>
  <x:sheetData>
    <x:row r="1" ht="35" customHeight="1">
      <x:c r="A1" s="3" t="str">
        <x:v>四角色功能矩阵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1" customHeight="1">
      <x:c r="A2" s="7" t="str">
        <x:v>源 Excel 第一张表共 36 个角色入口实例、23 个不同功能名；黑字=上方大图标区，红字=输入框上方快捷区。现网状态与物料状态分列记录。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3" customHeight="1">
      <x:c r="A4" s="12" t="str">
        <x:v>入口ID</x:v>
      </x:c>
      <x:c r="B4" s="12" t="str">
        <x:v>角色</x:v>
      </x:c>
      <x:c r="C4" s="12" t="str">
        <x:v>序号</x:v>
      </x:c>
      <x:c r="D4" s="12" t="str">
        <x:v>功能</x:v>
      </x:c>
      <x:c r="E4" s="12" t="str">
        <x:v>描述</x:v>
      </x:c>
      <x:c r="F4" s="12" t="str">
        <x:v>入口位置</x:v>
      </x:c>
      <x:c r="G4" s="12" t="str">
        <x:v>现网状态</x:v>
      </x:c>
      <x:c r="H4" s="12" t="str">
        <x:v>物料状态</x:v>
      </x:c>
      <x:c r="I4" s="12" t="str">
        <x:v>原型处理</x:v>
      </x:c>
      <x:c r="J4" s="12" t="str">
        <x:v>缺口ID</x:v>
      </x:c>
      <x:c r="K4" s="12" t="str">
        <x:v>证据日期</x:v>
      </x:c>
    </x:row>
    <x:row r="5" ht="57" customHeight="1">
      <x:c r="A5" s="29" t="str">
        <x:v>V01</x:v>
      </x:c>
      <x:c r="B5" s="35" t="str">
        <x:v>普通用户</x:v>
      </x:c>
      <x:c r="C5" s="29" t="n">
        <x:v>1</x:v>
      </x:c>
      <x:c r="D5" s="26" t="str">
        <x:v>展会速览</x:v>
      </x:c>
      <x:c r="E5" s="23" t="str">
        <x:v>了解本届数贸会亮点与规模</x:v>
      </x:c>
      <x:c r="F5" s="32" t="str">
        <x:v>上方图标区</x:v>
      </x:c>
      <x:c r="G5" s="32" t="str">
        <x:v>部分可复用</x:v>
      </x:c>
      <x:c r="H5" s="32" t="str">
        <x:v>部分具备</x:v>
      </x:c>
      <x:c r="I5" s="23" t="str">
        <x:v>对话回复｜展示已知概览，正式亮点、规模和更新日期待确认</x:v>
      </x:c>
      <x:c r="J5" s="32" t="str">
        <x:v>G003</x:v>
      </x:c>
      <x:c r="K5" s="32" t="str">
        <x:v>2026-08-28</x:v>
      </x:c>
    </x:row>
    <x:row r="6" ht="57" customHeight="1">
      <x:c r="A6" s="30" t="str">
        <x:v>V02</x:v>
      </x:c>
      <x:c r="B6" s="36" t="str">
        <x:v>普通用户</x:v>
      </x:c>
      <x:c r="C6" s="30" t="n">
        <x:v>2</x:v>
      </x:c>
      <x:c r="D6" s="27" t="str">
        <x:v>展区介绍</x:v>
      </x:c>
      <x:c r="E6" s="24" t="str">
        <x:v>了解 8 大展区</x:v>
      </x:c>
      <x:c r="F6" s="33" t="str">
        <x:v>上方图标区</x:v>
      </x:c>
      <x:c r="G6" s="33" t="str">
        <x:v>可复用</x:v>
      </x:c>
      <x:c r="H6" s="33" t="str">
        <x:v>部分具备</x:v>
      </x:c>
      <x:c r="I6" s="24" t="str">
        <x:v>对话回复｜复用主题展区与重点板块实测回复，等待官方复核</x:v>
      </x:c>
      <x:c r="J6" s="33" t="str">
        <x:v>G004</x:v>
      </x:c>
      <x:c r="K6" s="33" t="str">
        <x:v>2026-08-28</x:v>
      </x:c>
    </x:row>
    <x:row r="7" ht="57" customHeight="1">
      <x:c r="A7" s="30" t="str">
        <x:v>V03</x:v>
      </x:c>
      <x:c r="B7" s="36" t="str">
        <x:v>普通用户</x:v>
      </x:c>
      <x:c r="C7" s="30" t="n">
        <x:v>3</x:v>
      </x:c>
      <x:c r="D7" s="27" t="str">
        <x:v>活动日程</x:v>
      </x:c>
      <x:c r="E7" s="24" t="str">
        <x:v>查询各类活动时间</x:v>
      </x:c>
      <x:c r="F7" s="33" t="str">
        <x:v>上方图标区</x:v>
      </x:c>
      <x:c r="G7" s="33" t="str">
        <x:v>可复用</x:v>
      </x:c>
      <x:c r="H7" s="33" t="str">
        <x:v>部分具备</x:v>
      </x:c>
      <x:c r="I7" s="24" t="str">
        <x:v>对话回复｜复用举办日期与日程未公布提示</x:v>
      </x:c>
      <x:c r="J7" s="33" t="str">
        <x:v>G005</x:v>
      </x:c>
      <x:c r="K7" s="33" t="str">
        <x:v>2026-08-28</x:v>
      </x:c>
    </x:row>
    <x:row r="8" ht="57" customHeight="1">
      <x:c r="A8" s="30" t="str">
        <x:v>V04</x:v>
      </x:c>
      <x:c r="B8" s="36" t="str">
        <x:v>普通用户</x:v>
      </x:c>
      <x:c r="C8" s="30" t="n">
        <x:v>4</x:v>
      </x:c>
      <x:c r="D8" s="27" t="str">
        <x:v>展商推荐</x:v>
      </x:c>
      <x:c r="E8" s="24" t="str">
        <x:v>基于兴趣标签的个性化展商推荐</x:v>
      </x:c>
      <x:c r="F8" s="33" t="str">
        <x:v>上方图标区</x:v>
      </x:c>
      <x:c r="G8" s="33" t="str">
        <x:v>可复用</x:v>
      </x:c>
      <x:c r="H8" s="33" t="str">
        <x:v>部分具备</x:v>
      </x:c>
      <x:c r="I8" s="24" t="str">
        <x:v>推荐列表｜复用分组展商样例和换一批，正式数据待确认</x:v>
      </x:c>
      <x:c r="J8" s="33" t="str">
        <x:v>G006</x:v>
      </x:c>
      <x:c r="K8" s="33" t="str">
        <x:v>2026-08-28</x:v>
      </x:c>
    </x:row>
    <x:row r="9" ht="57" customHeight="1">
      <x:c r="A9" s="30" t="str">
        <x:v>V05</x:v>
      </x:c>
      <x:c r="B9" s="36" t="str">
        <x:v>普通用户</x:v>
      </x:c>
      <x:c r="C9" s="30" t="n">
        <x:v>5</x:v>
      </x:c>
      <x:c r="D9" s="27" t="str">
        <x:v>首发首秀</x:v>
      </x:c>
      <x:c r="E9" s="24" t="str">
        <x:v>展示本届首发首秀首展新品</x:v>
      </x:c>
      <x:c r="F9" s="33" t="str">
        <x:v>上方图标区</x:v>
      </x:c>
      <x:c r="G9" s="33" t="str">
        <x:v>可复用</x:v>
      </x:c>
      <x:c r="H9" s="33" t="str">
        <x:v>部分具备</x:v>
      </x:c>
      <x:c r="I9" s="24" t="str">
        <x:v>推荐列表｜复用已验证企业样例，缺新品详情与官方复核</x:v>
      </x:c>
      <x:c r="J9" s="33" t="str">
        <x:v>G007</x:v>
      </x:c>
      <x:c r="K9" s="33" t="str">
        <x:v>2026-08-28</x:v>
      </x:c>
    </x:row>
    <x:row r="10" ht="57" customHeight="1">
      <x:c r="A10" s="30" t="str">
        <x:v>V06</x:v>
      </x:c>
      <x:c r="B10" s="36" t="str">
        <x:v>普通用户</x:v>
      </x:c>
      <x:c r="C10" s="30" t="n">
        <x:v>6</x:v>
      </x:c>
      <x:c r="D10" s="27" t="str">
        <x:v>伴游导航</x:v>
      </x:c>
      <x:c r="E10" s="24" t="str">
        <x:v>展区/展位/服务设施室内外一体化导航</x:v>
      </x:c>
      <x:c r="F10" s="33" t="str">
        <x:v>上方图标区</x:v>
      </x:c>
      <x:c r="G10" s="33" t="str">
        <x:v>部分可复用</x:v>
      </x:c>
      <x:c r="H10" s="33" t="str">
        <x:v>部分具备</x:v>
      </x:c>
      <x:c r="I10" s="24" t="str">
        <x:v>内部功能页｜复用服务台/停车场/洗手间/交通菜单，导航交互待补</x:v>
      </x:c>
      <x:c r="J10" s="33" t="str">
        <x:v>G009,G010,G011</x:v>
      </x:c>
      <x:c r="K10" s="33" t="str">
        <x:v>2026-08-28</x:v>
      </x:c>
    </x:row>
    <x:row r="11" ht="57" customHeight="1">
      <x:c r="A11" s="30" t="str">
        <x:v>V07</x:v>
      </x:c>
      <x:c r="B11" s="36" t="str">
        <x:v>普通用户</x:v>
      </x:c>
      <x:c r="C11" s="30" t="n">
        <x:v>7</x:v>
      </x:c>
      <x:c r="D11" s="27" t="str">
        <x:v>打卡活动</x:v>
      </x:c>
      <x:c r="E11" s="24" t="str">
        <x:v>逛展打卡互动游戏</x:v>
      </x:c>
      <x:c r="F11" s="33" t="str">
        <x:v>输入框快捷区</x:v>
      </x:c>
      <x:c r="G11" s="33" t="str">
        <x:v>未实测</x:v>
      </x:c>
      <x:c r="H11" s="33" t="str">
        <x:v>待客户补充</x:v>
      </x:c>
      <x:c r="I11" s="24" t="str">
        <x:v>待补充占位｜待补玩法、任务、奖品、次数和完成反馈</x:v>
      </x:c>
      <x:c r="J11" s="33" t="str">
        <x:v>G012</x:v>
      </x:c>
      <x:c r="K11" s="33" t="str">
        <x:v>未实测</x:v>
      </x:c>
    </x:row>
    <x:row r="12" ht="57" customHeight="1">
      <x:c r="A12" s="30" t="str">
        <x:v>V08</x:v>
      </x:c>
      <x:c r="B12" s="36" t="str">
        <x:v>普通用户</x:v>
      </x:c>
      <x:c r="C12" s="30" t="n">
        <x:v>8</x:v>
      </x:c>
      <x:c r="D12" s="27" t="str">
        <x:v>订餐服务</x:v>
      </x:c>
      <x:c r="E12" s="24" t="str">
        <x:v>展馆内餐饮预订与推荐</x:v>
      </x:c>
      <x:c r="F12" s="33" t="str">
        <x:v>输入框快捷区</x:v>
      </x:c>
      <x:c r="G12" s="33" t="str">
        <x:v>可复用</x:v>
      </x:c>
      <x:c r="H12" s="33" t="str">
        <x:v>部分具备</x:v>
      </x:c>
      <x:c r="I12" s="24" t="str">
        <x:v>推荐列表｜复用 5 家餐饮样例，不模拟真实预订</x:v>
      </x:c>
      <x:c r="J12" s="33" t="str">
        <x:v>G013</x:v>
      </x:c>
      <x:c r="K12" s="33" t="str">
        <x:v>2026-08-28</x:v>
      </x:c>
    </x:row>
    <x:row r="13" ht="57" customHeight="1">
      <x:c r="A13" s="30" t="str">
        <x:v>V09</x:v>
      </x:c>
      <x:c r="B13" s="36" t="str">
        <x:v>普通用户</x:v>
      </x:c>
      <x:c r="C13" s="30" t="n">
        <x:v>9</x:v>
      </x:c>
      <x:c r="D13" s="27" t="str">
        <x:v>通用权益</x:v>
      </x:c>
      <x:c r="E13" s="24" t="str">
        <x:v>展示用户的权益入口</x:v>
      </x:c>
      <x:c r="F13" s="33" t="str">
        <x:v>输入框快捷区</x:v>
      </x:c>
      <x:c r="G13" s="33" t="str">
        <x:v>未实测</x:v>
      </x:c>
      <x:c r="H13" s="33" t="str">
        <x:v>待客户补充</x:v>
      </x:c>
      <x:c r="I13" s="24" t="str">
        <x:v>待补充占位｜待补权益、资格、有效期和使用入口</x:v>
      </x:c>
      <x:c r="J13" s="33" t="str">
        <x:v>G014</x:v>
      </x:c>
      <x:c r="K13" s="33" t="str">
        <x:v>未实测</x:v>
      </x:c>
    </x:row>
    <x:row r="14" ht="57" customHeight="1">
      <x:c r="A14" s="30" t="str">
        <x:v>V10</x:v>
      </x:c>
      <x:c r="B14" s="36" t="str">
        <x:v>普通用户</x:v>
      </x:c>
      <x:c r="C14" s="30" t="n">
        <x:v>10</x:v>
      </x:c>
      <x:c r="D14" s="27" t="str">
        <x:v>一键亮码</x:v>
      </x:c>
      <x:c r="E14" s="24" t="str">
        <x:v>一键展示入场码</x:v>
      </x:c>
      <x:c r="F14" s="33" t="str">
        <x:v>上方图标区</x:v>
      </x:c>
      <x:c r="G14" s="33" t="str">
        <x:v>不可复用</x:v>
      </x:c>
      <x:c r="H14" s="33" t="str">
        <x:v>待客户补充</x:v>
      </x:c>
      <x:c r="I14" s="24" t="str">
        <x:v>待补充占位｜保留入口并明确地址未配置</x:v>
      </x:c>
      <x:c r="J14" s="33" t="str">
        <x:v>G015</x:v>
      </x:c>
      <x:c r="K14" s="33" t="str">
        <x:v>2026-08-28</x:v>
      </x:c>
    </x:row>
    <x:row r="15" ht="57" customHeight="1">
      <x:c r="A15" s="30" t="str">
        <x:v>E01</x:v>
      </x:c>
      <x:c r="B15" s="37" t="str">
        <x:v>展商</x:v>
      </x:c>
      <x:c r="C15" s="30" t="n">
        <x:v>1</x:v>
      </x:c>
      <x:c r="D15" s="27" t="str">
        <x:v>产业对接</x:v>
      </x:c>
      <x:c r="E15" s="24" t="str">
        <x:v>推荐匹配的产业对接会、投融资活动</x:v>
      </x:c>
      <x:c r="F15" s="33" t="str">
        <x:v>上方图标区</x:v>
      </x:c>
      <x:c r="G15" s="33" t="str">
        <x:v>部分可复用</x:v>
      </x:c>
      <x:c r="H15" s="33" t="str">
        <x:v>部分具备</x:v>
      </x:c>
      <x:c r="I15" s="24" t="str">
        <x:v>推荐列表｜复用产业活动摘要，正式匹配和报名待补</x:v>
      </x:c>
      <x:c r="J15" s="33" t="str">
        <x:v>G022</x:v>
      </x:c>
      <x:c r="K15" s="33" t="str">
        <x:v>2026-08-28（共用能力证据）</x:v>
      </x:c>
    </x:row>
    <x:row r="16" ht="57" customHeight="1">
      <x:c r="A16" s="30" t="str">
        <x:v>E02</x:v>
      </x:c>
      <x:c r="B16" s="37" t="str">
        <x:v>展商</x:v>
      </x:c>
      <x:c r="C16" s="30" t="n">
        <x:v>2</x:v>
      </x:c>
      <x:c r="D16" s="27" t="str">
        <x:v>供采大厅</x:v>
      </x:c>
      <x:c r="E16" s="24" t="str">
        <x:v>链接数贸在线供采大厅，查看与发布供需信息</x:v>
      </x:c>
      <x:c r="F16" s="33" t="str">
        <x:v>上方图标区</x:v>
      </x:c>
      <x:c r="G16" s="33" t="str">
        <x:v>部分可复用</x:v>
      </x:c>
      <x:c r="H16" s="33" t="str">
        <x:v>部分具备</x:v>
      </x:c>
      <x:c r="I16" s="24" t="str">
        <x:v>外部链接｜展示用途，正式地址、权限和链接异常待确认</x:v>
      </x:c>
      <x:c r="J16" s="33" t="str">
        <x:v>G016,G029</x:v>
      </x:c>
      <x:c r="K16" s="33" t="str">
        <x:v>2026-08-28（共用能力证据）</x:v>
      </x:c>
    </x:row>
    <x:row r="17" ht="57" customHeight="1">
      <x:c r="A17" s="30" t="str">
        <x:v>E03</x:v>
      </x:c>
      <x:c r="B17" s="37" t="str">
        <x:v>展商</x:v>
      </x:c>
      <x:c r="C17" s="30" t="n">
        <x:v>3</x:v>
      </x:c>
      <x:c r="D17" s="27" t="str">
        <x:v>商机匹配</x:v>
      </x:c>
      <x:c r="E17" s="24" t="str">
        <x:v>智能推荐潜在高价值买家与合作方</x:v>
      </x:c>
      <x:c r="F17" s="33" t="str">
        <x:v>上方图标区</x:v>
      </x:c>
      <x:c r="G17" s="33" t="str">
        <x:v>未实测</x:v>
      </x:c>
      <x:c r="H17" s="33" t="str">
        <x:v>待客户补充</x:v>
      </x:c>
      <x:c r="I17" s="24" t="str">
        <x:v>待补充占位｜待补数据、关键词、匹配规则与换一批</x:v>
      </x:c>
      <x:c r="J17" s="33" t="str">
        <x:v>G017</x:v>
      </x:c>
      <x:c r="K17" s="33" t="str">
        <x:v>未实测</x:v>
      </x:c>
    </x:row>
    <x:row r="18" ht="57" customHeight="1">
      <x:c r="A18" s="30" t="str">
        <x:v>E04</x:v>
      </x:c>
      <x:c r="B18" s="37" t="str">
        <x:v>展商</x:v>
      </x:c>
      <x:c r="C18" s="30" t="n">
        <x:v>4</x:v>
      </x:c>
      <x:c r="D18" s="27" t="str">
        <x:v>首发首秀</x:v>
      </x:c>
      <x:c r="E18" s="24" t="str">
        <x:v>新品首发首秀的申报入口与展示专区</x:v>
      </x:c>
      <x:c r="F18" s="33" t="str">
        <x:v>上方图标区</x:v>
      </x:c>
      <x:c r="G18" s="33" t="str">
        <x:v>部分可复用</x:v>
      </x:c>
      <x:c r="H18" s="33" t="str">
        <x:v>部分具备</x:v>
      </x:c>
      <x:c r="I18" s="24" t="str">
        <x:v>内部功能页｜复用展示样例，申报入口、条件与状态待补</x:v>
      </x:c>
      <x:c r="J18" s="33" t="str">
        <x:v>G007,G008</x:v>
      </x:c>
      <x:c r="K18" s="33" t="str">
        <x:v>2026-08-28（共用能力证据）</x:v>
      </x:c>
    </x:row>
    <x:row r="19" ht="57" customHeight="1">
      <x:c r="A19" s="30" t="str">
        <x:v>E05</x:v>
      </x:c>
      <x:c r="B19" s="37" t="str">
        <x:v>展商</x:v>
      </x:c>
      <x:c r="C19" s="30" t="n">
        <x:v>5</x:v>
      </x:c>
      <x:c r="D19" s="27" t="str">
        <x:v>DT奖</x:v>
      </x:c>
      <x:c r="E19" s="24" t="str">
        <x:v>数贸会奖项申报与评选动态</x:v>
      </x:c>
      <x:c r="F19" s="33" t="str">
        <x:v>输入框快捷区</x:v>
      </x:c>
      <x:c r="G19" s="33" t="str">
        <x:v>部分可复用</x:v>
      </x:c>
      <x:c r="H19" s="33" t="str">
        <x:v>部分具备</x:v>
      </x:c>
      <x:c r="I19" s="24" t="str">
        <x:v>对话回复｜复用往届介绍，本届规则和申报入口待补</x:v>
      </x:c>
      <x:c r="J19" s="33" t="str">
        <x:v>G018</x:v>
      </x:c>
      <x:c r="K19" s="33" t="str">
        <x:v>2026-08-28（共用能力证据）</x:v>
      </x:c>
    </x:row>
    <x:row r="20" ht="57" customHeight="1">
      <x:c r="A20" s="30" t="str">
        <x:v>E06</x:v>
      </x:c>
      <x:c r="B20" s="37" t="str">
        <x:v>展商</x:v>
      </x:c>
      <x:c r="C20" s="30" t="n">
        <x:v>6</x:v>
      </x:c>
      <x:c r="D20" s="27" t="str">
        <x:v>参展权益</x:v>
      </x:c>
      <x:c r="E20" s="24" t="str">
        <x:v>展示展商的权益入口</x:v>
      </x:c>
      <x:c r="F20" s="33" t="str">
        <x:v>输入框快捷区</x:v>
      </x:c>
      <x:c r="G20" s="33" t="str">
        <x:v>未实测</x:v>
      </x:c>
      <x:c r="H20" s="33" t="str">
        <x:v>待客户补充</x:v>
      </x:c>
      <x:c r="I20" s="24" t="str">
        <x:v>待补充占位｜待补展商权益、资格、有效期与入口</x:v>
      </x:c>
      <x:c r="J20" s="33" t="str">
        <x:v>G014</x:v>
      </x:c>
      <x:c r="K20" s="33" t="str">
        <x:v>未实测</x:v>
      </x:c>
    </x:row>
    <x:row r="21" ht="57" customHeight="1">
      <x:c r="A21" s="30" t="str">
        <x:v>E07</x:v>
      </x:c>
      <x:c r="B21" s="37" t="str">
        <x:v>展商</x:v>
      </x:c>
      <x:c r="C21" s="30" t="n">
        <x:v>7</x:v>
      </x:c>
      <x:c r="D21" s="27" t="str">
        <x:v>伴游导航</x:v>
      </x:c>
      <x:c r="E21" s="24" t="str">
        <x:v>展区/展位/服务设施室内外一体化导航</x:v>
      </x:c>
      <x:c r="F21" s="33" t="str">
        <x:v>上方图标区</x:v>
      </x:c>
      <x:c r="G21" s="33" t="str">
        <x:v>部分可复用</x:v>
      </x:c>
      <x:c r="H21" s="33" t="str">
        <x:v>部分具备</x:v>
      </x:c>
      <x:c r="I21" s="24" t="str">
        <x:v>内部功能页｜沿用共用服务菜单，导航数据与交互待补</x:v>
      </x:c>
      <x:c r="J21" s="33" t="str">
        <x:v>G009,G010,G011</x:v>
      </x:c>
      <x:c r="K21" s="33" t="str">
        <x:v>2026-08-28（共用能力证据）</x:v>
      </x:c>
    </x:row>
    <x:row r="22" ht="57" customHeight="1">
      <x:c r="A22" s="30" t="str">
        <x:v>E08</x:v>
      </x:c>
      <x:c r="B22" s="37" t="str">
        <x:v>展商</x:v>
      </x:c>
      <x:c r="C22" s="30" t="n">
        <x:v>8</x:v>
      </x:c>
      <x:c r="D22" s="27" t="str">
        <x:v>智能创作</x:v>
      </x:c>
      <x:c r="E22" s="24" t="str">
        <x:v>AI 生成宣传文案、海报等内容</x:v>
      </x:c>
      <x:c r="F22" s="33" t="str">
        <x:v>上方图标区</x:v>
      </x:c>
      <x:c r="G22" s="33" t="str">
        <x:v>可复用</x:v>
      </x:c>
      <x:c r="H22" s="33" t="str">
        <x:v>已确认</x:v>
      </x:c>
      <x:c r="I22" s="24" t="str">
        <x:v>内部功能页｜复用智绘/智记/智创/智影/智写五类能力</x:v>
      </x:c>
      <x:c r="J22" s="33" t="str">
        <x:v>—</x:v>
      </x:c>
      <x:c r="K22" s="33" t="str">
        <x:v>2026-08-28</x:v>
      </x:c>
    </x:row>
    <x:row r="23" ht="57" customHeight="1">
      <x:c r="A23" s="30" t="str">
        <x:v>E09</x:v>
      </x:c>
      <x:c r="B23" s="37" t="str">
        <x:v>展商</x:v>
      </x:c>
      <x:c r="C23" s="30" t="n">
        <x:v>9</x:v>
      </x:c>
      <x:c r="D23" s="27" t="str">
        <x:v>传播投手</x:v>
      </x:c>
      <x:c r="E23" s="24" t="str">
        <x:v>提交企业媒体侧宣传需求</x:v>
      </x:c>
      <x:c r="F23" s="33" t="str">
        <x:v>上方图标区</x:v>
      </x:c>
      <x:c r="G23" s="33" t="str">
        <x:v>部分可复用</x:v>
      </x:c>
      <x:c r="H23" s="33" t="str">
        <x:v>部分具备</x:v>
      </x:c>
      <x:c r="I23" s="24" t="str">
        <x:v>业务弹窗｜复刻第一步字段与必填校验，第二步和提交结果待补</x:v>
      </x:c>
      <x:c r="J23" s="33" t="str">
        <x:v>G019</x:v>
      </x:c>
      <x:c r="K23" s="33" t="str">
        <x:v>2026-08-28</x:v>
      </x:c>
    </x:row>
    <x:row r="24" ht="57" customHeight="1">
      <x:c r="A24" s="30" t="str">
        <x:v>E10</x:v>
      </x:c>
      <x:c r="B24" s="37" t="str">
        <x:v>展商</x:v>
      </x:c>
      <x:c r="C24" s="30" t="n">
        <x:v>10</x:v>
      </x:c>
      <x:c r="D24" s="27" t="str">
        <x:v>一键亮码</x:v>
      </x:c>
      <x:c r="E24" s="24" t="str">
        <x:v>一键展示入场码</x:v>
      </x:c>
      <x:c r="F24" s="33" t="str">
        <x:v>上方图标区</x:v>
      </x:c>
      <x:c r="G24" s="33" t="str">
        <x:v>不可复用</x:v>
      </x:c>
      <x:c r="H24" s="33" t="str">
        <x:v>待客户补充</x:v>
      </x:c>
      <x:c r="I24" s="24" t="str">
        <x:v>待补充占位｜共用证据表明地址未配置</x:v>
      </x:c>
      <x:c r="J24" s="33" t="str">
        <x:v>G015</x:v>
      </x:c>
      <x:c r="K24" s="33" t="str">
        <x:v>2026-08-28（共用能力证据）</x:v>
      </x:c>
    </x:row>
    <x:row r="25" ht="57" customHeight="1">
      <x:c r="A25" s="30" t="str">
        <x:v>B01</x:v>
      </x:c>
      <x:c r="B25" s="38" t="str">
        <x:v>客商</x:v>
      </x:c>
      <x:c r="C25" s="30" t="n">
        <x:v>1</x:v>
      </x:c>
      <x:c r="D25" s="27" t="str">
        <x:v>供采大厅</x:v>
      </x:c>
      <x:c r="E25" s="24" t="str">
        <x:v>链接数贸在线供采大厅，查看与发布供需信息</x:v>
      </x:c>
      <x:c r="F25" s="33" t="str">
        <x:v>上方图标区</x:v>
      </x:c>
      <x:c r="G25" s="33" t="str">
        <x:v>部分可复用</x:v>
      </x:c>
      <x:c r="H25" s="33" t="str">
        <x:v>部分具备</x:v>
      </x:c>
      <x:c r="I25" s="24" t="str">
        <x:v>外部链接｜沿用共用说明，客商权限和正式地址待确认</x:v>
      </x:c>
      <x:c r="J25" s="33" t="str">
        <x:v>G016,G029</x:v>
      </x:c>
      <x:c r="K25" s="33" t="str">
        <x:v>2026-08-28（共用能力证据）</x:v>
      </x:c>
    </x:row>
    <x:row r="26" ht="57" customHeight="1">
      <x:c r="A26" s="30" t="str">
        <x:v>B02</x:v>
      </x:c>
      <x:c r="B26" s="38" t="str">
        <x:v>客商</x:v>
      </x:c>
      <x:c r="C26" s="30" t="n">
        <x:v>2</x:v>
      </x:c>
      <x:c r="D26" s="27" t="str">
        <x:v>智能选品</x:v>
      </x:c>
      <x:c r="E26" s="24" t="str">
        <x:v>基于采购偏好智能推荐展商与展品</x:v>
      </x:c>
      <x:c r="F26" s="33" t="str">
        <x:v>上方图标区</x:v>
      </x:c>
      <x:c r="G26" s="33" t="str">
        <x:v>未实测</x:v>
      </x:c>
      <x:c r="H26" s="33" t="str">
        <x:v>待客户补充</x:v>
      </x:c>
      <x:c r="I26" s="24" t="str">
        <x:v>待补充占位｜待补偏好字段、数据、推荐卡片和换一批</x:v>
      </x:c>
      <x:c r="J26" s="33" t="str">
        <x:v>G020</x:v>
      </x:c>
      <x:c r="K26" s="33" t="str">
        <x:v>未实测</x:v>
      </x:c>
    </x:row>
    <x:row r="27" ht="57" customHeight="1">
      <x:c r="A27" s="30" t="str">
        <x:v>B03</x:v>
      </x:c>
      <x:c r="B27" s="38" t="str">
        <x:v>客商</x:v>
      </x:c>
      <x:c r="C27" s="30" t="n">
        <x:v>3</x:v>
      </x:c>
      <x:c r="D27" s="27" t="str">
        <x:v>展商搜索</x:v>
      </x:c>
      <x:c r="E27" s="24" t="str">
        <x:v>精准搜索目标展商与企业信息</x:v>
      </x:c>
      <x:c r="F27" s="33" t="str">
        <x:v>上方图标区</x:v>
      </x:c>
      <x:c r="G27" s="33" t="str">
        <x:v>未实测</x:v>
      </x:c>
      <x:c r="H27" s="33" t="str">
        <x:v>待客户补充</x:v>
      </x:c>
      <x:c r="I27" s="24" t="str">
        <x:v>待补充占位｜待补搜索字段、结果卡片、详情和空状态</x:v>
      </x:c>
      <x:c r="J27" s="33" t="str">
        <x:v>G021</x:v>
      </x:c>
      <x:c r="K27" s="33" t="str">
        <x:v>未实测</x:v>
      </x:c>
    </x:row>
    <x:row r="28" ht="57" customHeight="1">
      <x:c r="A28" s="30" t="str">
        <x:v>B04</x:v>
      </x:c>
      <x:c r="B28" s="38" t="str">
        <x:v>客商</x:v>
      </x:c>
      <x:c r="C28" s="30" t="n">
        <x:v>4</x:v>
      </x:c>
      <x:c r="D28" s="27" t="str">
        <x:v>产业对接</x:v>
      </x:c>
      <x:c r="E28" s="24" t="str">
        <x:v>推荐匹配的商贸匹配、产业对接专场</x:v>
      </x:c>
      <x:c r="F28" s="33" t="str">
        <x:v>上方图标区</x:v>
      </x:c>
      <x:c r="G28" s="33" t="str">
        <x:v>部分可复用</x:v>
      </x:c>
      <x:c r="H28" s="33" t="str">
        <x:v>部分具备</x:v>
      </x:c>
      <x:c r="I28" s="24" t="str">
        <x:v>推荐列表｜复用共用活动摘要，客商专属匹配与报名待补</x:v>
      </x:c>
      <x:c r="J28" s="33" t="str">
        <x:v>G022</x:v>
      </x:c>
      <x:c r="K28" s="33" t="str">
        <x:v>2026-08-28（共用能力证据）</x:v>
      </x:c>
    </x:row>
    <x:row r="29" ht="57" customHeight="1">
      <x:c r="A29" s="30" t="str">
        <x:v>B05</x:v>
      </x:c>
      <x:c r="B29" s="38" t="str">
        <x:v>客商</x:v>
      </x:c>
      <x:c r="C29" s="30" t="n">
        <x:v>5</x:v>
      </x:c>
      <x:c r="D29" s="27" t="str">
        <x:v>展会回访</x:v>
      </x:c>
      <x:c r="E29" s="24" t="str">
        <x:v>提供问卷形式的展会回访</x:v>
      </x:c>
      <x:c r="F29" s="33" t="str">
        <x:v>输入框快捷区</x:v>
      </x:c>
      <x:c r="G29" s="33" t="str">
        <x:v>未实测</x:v>
      </x:c>
      <x:c r="H29" s="33" t="str">
        <x:v>待客户补充</x:v>
      </x:c>
      <x:c r="I29" s="24" t="str">
        <x:v>待补充占位｜待补题目、必填、匿名、提交和成功反馈</x:v>
      </x:c>
      <x:c r="J29" s="33" t="str">
        <x:v>G023</x:v>
      </x:c>
      <x:c r="K29" s="33" t="str">
        <x:v>未实测</x:v>
      </x:c>
    </x:row>
    <x:row r="30" ht="57" customHeight="1">
      <x:c r="A30" s="30" t="str">
        <x:v>B06</x:v>
      </x:c>
      <x:c r="B30" s="38" t="str">
        <x:v>客商</x:v>
      </x:c>
      <x:c r="C30" s="30" t="n">
        <x:v>6</x:v>
      </x:c>
      <x:c r="D30" s="27" t="str">
        <x:v>参展权益</x:v>
      </x:c>
      <x:c r="E30" s="24" t="str">
        <x:v>展示客商的权益入口</x:v>
      </x:c>
      <x:c r="F30" s="33" t="str">
        <x:v>输入框快捷区</x:v>
      </x:c>
      <x:c r="G30" s="33" t="str">
        <x:v>未实测</x:v>
      </x:c>
      <x:c r="H30" s="33" t="str">
        <x:v>待客户补充</x:v>
      </x:c>
      <x:c r="I30" s="24" t="str">
        <x:v>待补充占位｜客商权益待客户确认，不以展商文案替代</x:v>
      </x:c>
      <x:c r="J30" s="33" t="str">
        <x:v>G014</x:v>
      </x:c>
      <x:c r="K30" s="33" t="str">
        <x:v>未实测</x:v>
      </x:c>
    </x:row>
    <x:row r="31" ht="57" customHeight="1">
      <x:c r="A31" s="30" t="str">
        <x:v>B07</x:v>
      </x:c>
      <x:c r="B31" s="38" t="str">
        <x:v>客商</x:v>
      </x:c>
      <x:c r="C31" s="30" t="n">
        <x:v>7</x:v>
      </x:c>
      <x:c r="D31" s="27" t="str">
        <x:v>伴游导航</x:v>
      </x:c>
      <x:c r="E31" s="24" t="str">
        <x:v>展区/展位/服务设施室内外一体化导航</x:v>
      </x:c>
      <x:c r="F31" s="33" t="str">
        <x:v>上方图标区</x:v>
      </x:c>
      <x:c r="G31" s="33" t="str">
        <x:v>部分可复用</x:v>
      </x:c>
      <x:c r="H31" s="33" t="str">
        <x:v>部分具备</x:v>
      </x:c>
      <x:c r="I31" s="24" t="str">
        <x:v>内部功能页｜沿用共用服务菜单，导航数据与交互待补</x:v>
      </x:c>
      <x:c r="J31" s="33" t="str">
        <x:v>G009,G010,G011</x:v>
      </x:c>
      <x:c r="K31" s="33" t="str">
        <x:v>2026-08-28（共用能力证据）</x:v>
      </x:c>
    </x:row>
    <x:row r="32" ht="57" customHeight="1">
      <x:c r="A32" s="30" t="str">
        <x:v>B08</x:v>
      </x:c>
      <x:c r="B32" s="38" t="str">
        <x:v>客商</x:v>
      </x:c>
      <x:c r="C32" s="30" t="n">
        <x:v>8</x:v>
      </x:c>
      <x:c r="D32" s="27" t="str">
        <x:v>订餐服务</x:v>
      </x:c>
      <x:c r="E32" s="24" t="str">
        <x:v>展馆内餐饮预订与推荐</x:v>
      </x:c>
      <x:c r="F32" s="33" t="str">
        <x:v>输入框快捷区</x:v>
      </x:c>
      <x:c r="G32" s="33" t="str">
        <x:v>可复用</x:v>
      </x:c>
      <x:c r="H32" s="33" t="str">
        <x:v>部分具备</x:v>
      </x:c>
      <x:c r="I32" s="24" t="str">
        <x:v>推荐列表｜沿用共用餐饮样例，不模拟真实预订</x:v>
      </x:c>
      <x:c r="J32" s="33" t="str">
        <x:v>G013</x:v>
      </x:c>
      <x:c r="K32" s="33" t="str">
        <x:v>2026-08-28（共用能力证据）</x:v>
      </x:c>
    </x:row>
    <x:row r="33" ht="57" customHeight="1">
      <x:c r="A33" s="30" t="str">
        <x:v>B09</x:v>
      </x:c>
      <x:c r="B33" s="38" t="str">
        <x:v>客商</x:v>
      </x:c>
      <x:c r="C33" s="30" t="n">
        <x:v>9</x:v>
      </x:c>
      <x:c r="D33" s="27" t="str">
        <x:v>一键亮码</x:v>
      </x:c>
      <x:c r="E33" s="24" t="str">
        <x:v>一键展示入场码</x:v>
      </x:c>
      <x:c r="F33" s="33" t="str">
        <x:v>上方图标区</x:v>
      </x:c>
      <x:c r="G33" s="33" t="str">
        <x:v>不可复用</x:v>
      </x:c>
      <x:c r="H33" s="33" t="str">
        <x:v>待客户补充</x:v>
      </x:c>
      <x:c r="I33" s="24" t="str">
        <x:v>待补充占位｜共用证据表明地址未配置</x:v>
      </x:c>
      <x:c r="J33" s="33" t="str">
        <x:v>G015</x:v>
      </x:c>
      <x:c r="K33" s="33" t="str">
        <x:v>2026-08-28（共用能力证据）</x:v>
      </x:c>
    </x:row>
    <x:row r="34" ht="57" customHeight="1">
      <x:c r="A34" s="30" t="str">
        <x:v>M01</x:v>
      </x:c>
      <x:c r="B34" s="39" t="str">
        <x:v>媒体</x:v>
      </x:c>
      <x:c r="C34" s="30" t="n">
        <x:v>1</x:v>
      </x:c>
      <x:c r="D34" s="27" t="str">
        <x:v>媒体手册</x:v>
      </x:c>
      <x:c r="E34" s="24" t="str">
        <x:v>官方图片、视频、宣传等媒体资料</x:v>
      </x:c>
      <x:c r="F34" s="33" t="str">
        <x:v>上方图标区</x:v>
      </x:c>
      <x:c r="G34" s="33" t="str">
        <x:v>不可复用</x:v>
      </x:c>
      <x:c r="H34" s="33" t="str">
        <x:v>待客户补充</x:v>
      </x:c>
      <x:c r="I34" s="24" t="str">
        <x:v>外部链接｜素材库返回 500，原型不保存异常地址或动态鉴权值</x:v>
      </x:c>
      <x:c r="J34" s="33" t="str">
        <x:v>G024,G025</x:v>
      </x:c>
      <x:c r="K34" s="33" t="str">
        <x:v>2026-08-28</x:v>
      </x:c>
    </x:row>
    <x:row r="35" ht="57" customHeight="1">
      <x:c r="A35" s="30" t="str">
        <x:v>M02</x:v>
      </x:c>
      <x:c r="B35" s="39" t="str">
        <x:v>媒体</x:v>
      </x:c>
      <x:c r="C35" s="30" t="n">
        <x:v>2</x:v>
      </x:c>
      <x:c r="D35" s="27" t="str">
        <x:v>智能创作</x:v>
      </x:c>
      <x:c r="E35" s="24" t="str">
        <x:v>AI 生成宣传文案、海报等内容</x:v>
      </x:c>
      <x:c r="F35" s="33" t="str">
        <x:v>上方图标区</x:v>
      </x:c>
      <x:c r="G35" s="33" t="str">
        <x:v>可复用</x:v>
      </x:c>
      <x:c r="H35" s="33" t="str">
        <x:v>已确认</x:v>
      </x:c>
      <x:c r="I35" s="24" t="str">
        <x:v>内部功能页｜共用已验证的五类智能创作能力</x:v>
      </x:c>
      <x:c r="J35" s="33" t="str">
        <x:v>—</x:v>
      </x:c>
      <x:c r="K35" s="33" t="str">
        <x:v>2026-08-28（共用能力证据）</x:v>
      </x:c>
    </x:row>
    <x:row r="36" ht="57" customHeight="1">
      <x:c r="A36" s="30" t="str">
        <x:v>M03</x:v>
      </x:c>
      <x:c r="B36" s="39" t="str">
        <x:v>媒体</x:v>
      </x:c>
      <x:c r="C36" s="30" t="n">
        <x:v>3</x:v>
      </x:c>
      <x:c r="D36" s="27" t="str">
        <x:v>现场素材</x:v>
      </x:c>
      <x:c r="E36" s="24" t="str">
        <x:v>查询现场产生的各类媒体素材</x:v>
      </x:c>
      <x:c r="F36" s="33" t="str">
        <x:v>上方图标区</x:v>
      </x:c>
      <x:c r="G36" s="33" t="str">
        <x:v>未实测</x:v>
      </x:c>
      <x:c r="H36" s="33" t="str">
        <x:v>待客户补充</x:v>
      </x:c>
      <x:c r="I36" s="24" t="str">
        <x:v>待补充占位｜待补素材库、字段、筛选、预览和下载权限</x:v>
      </x:c>
      <x:c r="J36" s="33" t="str">
        <x:v>G024,G026</x:v>
      </x:c>
      <x:c r="K36" s="33" t="str">
        <x:v>未实测</x:v>
      </x:c>
    </x:row>
    <x:row r="37" ht="57" customHeight="1">
      <x:c r="A37" s="30" t="str">
        <x:v>M04</x:v>
      </x:c>
      <x:c r="B37" s="39" t="str">
        <x:v>媒体</x:v>
      </x:c>
      <x:c r="C37" s="30" t="n">
        <x:v>4</x:v>
      </x:c>
      <x:c r="D37" s="27" t="str">
        <x:v>活动日程</x:v>
      </x:c>
      <x:c r="E37" s="24" t="str">
        <x:v>查询各类活动时间</x:v>
      </x:c>
      <x:c r="F37" s="33" t="str">
        <x:v>上方图标区</x:v>
      </x:c>
      <x:c r="G37" s="33" t="str">
        <x:v>可复用</x:v>
      </x:c>
      <x:c r="H37" s="33" t="str">
        <x:v>部分具备</x:v>
      </x:c>
      <x:c r="I37" s="24" t="str">
        <x:v>对话回复｜沿用共用举办日期与日程未公布提示</x:v>
      </x:c>
      <x:c r="J37" s="33" t="str">
        <x:v>G005</x:v>
      </x:c>
      <x:c r="K37" s="33" t="str">
        <x:v>2026-08-28（共用能力证据）</x:v>
      </x:c>
    </x:row>
    <x:row r="38" ht="57" customHeight="1">
      <x:c r="A38" s="30" t="str">
        <x:v>M05</x:v>
      </x:c>
      <x:c r="B38" s="39" t="str">
        <x:v>媒体</x:v>
      </x:c>
      <x:c r="C38" s="30" t="n">
        <x:v>5</x:v>
      </x:c>
      <x:c r="D38" s="27" t="str">
        <x:v>传播热点</x:v>
      </x:c>
      <x:c r="E38" s="24" t="str">
        <x:v>查询展期热点亮点</x:v>
      </x:c>
      <x:c r="F38" s="33" t="str">
        <x:v>上方图标区</x:v>
      </x:c>
      <x:c r="G38" s="33" t="str">
        <x:v>未实测</x:v>
      </x:c>
      <x:c r="H38" s="33" t="str">
        <x:v>待客户补充</x:v>
      </x:c>
      <x:c r="I38" s="24" t="str">
        <x:v>待补充占位｜待补统计口径、更新频率、来源和热点卡片</x:v>
      </x:c>
      <x:c r="J38" s="33" t="str">
        <x:v>G027</x:v>
      </x:c>
      <x:c r="K38" s="33" t="str">
        <x:v>未实测</x:v>
      </x:c>
    </x:row>
    <x:row r="39" ht="57" customHeight="1">
      <x:c r="A39" s="30" t="str">
        <x:v>M06</x:v>
      </x:c>
      <x:c r="B39" s="39" t="str">
        <x:v>媒体</x:v>
      </x:c>
      <x:c r="C39" s="30" t="n">
        <x:v>6</x:v>
      </x:c>
      <x:c r="D39" s="27" t="str">
        <x:v>订餐服务</x:v>
      </x:c>
      <x:c r="E39" s="24" t="str">
        <x:v>展馆内餐饮预订与推荐</x:v>
      </x:c>
      <x:c r="F39" s="33" t="str">
        <x:v>输入框快捷区</x:v>
      </x:c>
      <x:c r="G39" s="33" t="str">
        <x:v>可复用</x:v>
      </x:c>
      <x:c r="H39" s="33" t="str">
        <x:v>部分具备</x:v>
      </x:c>
      <x:c r="I39" s="24" t="str">
        <x:v>推荐列表｜沿用共用餐饮样例，不模拟真实预订</x:v>
      </x:c>
      <x:c r="J39" s="33" t="str">
        <x:v>G013</x:v>
      </x:c>
      <x:c r="K39" s="33" t="str">
        <x:v>2026-08-28（共用能力证据）</x:v>
      </x:c>
    </x:row>
    <x:row r="40" ht="57" customHeight="1">
      <x:c r="A40" s="31" t="str">
        <x:v>M07</x:v>
      </x:c>
      <x:c r="B40" s="40" t="str">
        <x:v>媒体</x:v>
      </x:c>
      <x:c r="C40" s="31" t="n">
        <x:v>7</x:v>
      </x:c>
      <x:c r="D40" s="28" t="str">
        <x:v>参展权益</x:v>
      </x:c>
      <x:c r="E40" s="25" t="str">
        <x:v>展示媒体的权益入口</x:v>
      </x:c>
      <x:c r="F40" s="34" t="str">
        <x:v>输入框快捷区</x:v>
      </x:c>
      <x:c r="G40" s="34" t="str">
        <x:v>未实测</x:v>
      </x:c>
      <x:c r="H40" s="34" t="str">
        <x:v>待客户补充</x:v>
      </x:c>
      <x:c r="I40" s="25" t="str">
        <x:v>待补充占位｜媒体权益待客户确认，不以展商文案替代</x:v>
      </x:c>
      <x:c r="J40" s="34" t="str">
        <x:v>G014</x:v>
      </x:c>
      <x:c r="K40" s="34" t="str">
        <x:v>未实测</x:v>
      </x:c>
    </x:row>
  </x:sheetData>
  <x:mergeCells>
    <x:mergeCell ref="A1:K1"/>
    <x:mergeCell ref="A2:K2"/>
  </x:mergeCells>
  <x:conditionalFormatting sqref="F5:F40">
    <x:cfRule type="containsText" dxfId="0" priority="1" operator="containsText" text="输入框快捷区"/>
  </x:conditionalFormatting>
  <x:conditionalFormatting sqref="G5:G40">
    <x:cfRule type="containsText" dxfId="1" priority="2" operator="containsText" text="可复用"/>
    <x:cfRule type="containsText" dxfId="2" priority="3" operator="containsText" text="部分可复用"/>
    <x:cfRule type="containsText" dxfId="3" priority="4" operator="containsText" text="不可复用"/>
    <x:cfRule type="containsText" dxfId="4" priority="5" operator="containsText" text="未实测"/>
  </x:conditionalFormatting>
  <x:conditionalFormatting sqref="H5:H40">
    <x:cfRule type="containsText" dxfId="5" priority="6" operator="containsText" text="已确认"/>
    <x:cfRule type="containsText" dxfId="6" priority="7" operator="containsText" text="部分具备"/>
    <x:cfRule type="containsText" dxfId="7" priority="8" operator="containsText" text="待客户补充"/>
  </x:conditionalFormatting>
  <x:dataValidations count="3">
    <x:dataValidation type="list" sqref="F5:F40">
      <x:formula1>"上方图标区,输入框快捷区"</x:formula1>
    </x:dataValidation>
    <x:dataValidation type="list" sqref="G5:G40">
      <x:formula1>"可复用,部分可复用,不可复用,未实测"</x:formula1>
    </x:dataValidation>
    <x:dataValidation type="list" sqref="H5:H40">
      <x:formula1>"已确认,部分具备,待客户补充"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ef49990215416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7" hidden="0" customWidth="1"/>
    <x:col min="3" max="3" width="16" hidden="0" customWidth="1"/>
    <x:col min="4" max="4" width="33" hidden="0" customWidth="1"/>
    <x:col min="5" max="5" width="16" hidden="0" customWidth="1"/>
    <x:col min="6" max="6" width="15" hidden="0" customWidth="1"/>
    <x:col min="7" max="7" width="65" hidden="0" customWidth="1"/>
    <x:col min="8" max="8" width="58" hidden="0" customWidth="1"/>
    <x:col min="9" max="9" width="29" hidden="0" customWidth="1"/>
    <x:col min="10" max="10" width="43" hidden="0" customWidth="1"/>
    <x:col min="11" max="11" width="27" hidden="0" customWidth="1"/>
  </x:cols>
  <x:sheetData>
    <x:row r="1" ht="35" customHeight="1">
      <x:c r="A1" s="3" t="str">
        <x:v>现网功能与点击反馈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1" customHeight="1">
      <x:c r="A2" s="7" t="str">
        <x:v>来源：visitor / exhibitor 页面及多级入口实测。异常完整 URL、查询参数、鉴权值和内部式指令原文均未保存。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3" customHeight="1">
      <x:c r="A4" s="12" t="str">
        <x:v>关联入口ID</x:v>
      </x:c>
      <x:c r="B4" s="12" t="str">
        <x:v>页面版本</x:v>
      </x:c>
      <x:c r="C4" s="12" t="str">
        <x:v>入口层级</x:v>
      </x:c>
      <x:c r="D4" s="12" t="str">
        <x:v>点击路径</x:v>
      </x:c>
      <x:c r="E4" s="12" t="str">
        <x:v>反馈类型</x:v>
      </x:c>
      <x:c r="F4" s="12" t="str">
        <x:v>现网状态</x:v>
      </x:c>
      <x:c r="G4" s="12" t="str">
        <x:v>完整回复样例/展示结果</x:v>
      </x:c>
      <x:c r="H4" s="12" t="str">
        <x:v>脱敏 URL</x:v>
      </x:c>
      <x:c r="I4" s="12" t="str">
        <x:v>跳转结果</x:v>
      </x:c>
      <x:c r="J4" s="12" t="str">
        <x:v>异常说明</x:v>
      </x:c>
      <x:c r="K4" s="12" t="str">
        <x:v>证据日期</x:v>
      </x:c>
    </x:row>
    <x:row r="5" ht="75" customHeight="1">
      <x:c r="A5" s="26" t="str">
        <x:v>V01-V10</x:v>
      </x:c>
      <x:c r="B5" s="26" t="str">
        <x:v>visitor 页</x:v>
      </x:c>
      <x:c r="C5" s="23" t="str">
        <x:v>首页</x:v>
      </x:c>
      <x:c r="D5" s="23" t="str">
        <x:v>打开页面</x:v>
      </x:c>
      <x:c r="E5" s="32" t="str">
        <x:v>内部功能页</x:v>
      </x:c>
      <x:c r="F5" s="32" t="str">
        <x:v>部分可复用</x:v>
      </x:c>
      <x:c r="G5" s="23" t="str">
        <x:v>显示数小潮、展会速览、活动日程/展区介绍/展商推荐/首发首秀、推荐问题与逛展服务。</x:v>
      </x:c>
      <x:c r="H5" s="44" t="str">
        <x:v>https://voicehub.commind.com/hzzx/mobile/?role=visitor</x:v>
      </x:c>
      <x:c r="I5" s="23" t="str">
        <x:v>同页展示</x:v>
      </x:c>
      <x:c r="J5" s="23" t="str">
        <x:v>与 Excel 目标矩阵不完全相同。</x:v>
      </x:c>
      <x:c r="K5" s="23" t="str">
        <x:v>2026-08-28（AI 输出可能变化）</x:v>
      </x:c>
    </x:row>
    <x:row r="6" ht="75" customHeight="1">
      <x:c r="A6" s="27" t="str">
        <x:v>V03</x:v>
      </x:c>
      <x:c r="B6" s="27" t="str">
        <x:v>visitor 页</x:v>
      </x:c>
      <x:c r="C6" s="24" t="str">
        <x:v>上方入口</x:v>
      </x:c>
      <x:c r="D6" s="24" t="str">
        <x:v>活动日程</x:v>
      </x:c>
      <x:c r="E6" s="33" t="str">
        <x:v>对话回复</x:v>
      </x:c>
      <x:c r="F6" s="33" t="str">
        <x:v>可复用</x:v>
      </x:c>
      <x:c r="G6" s="24" t="str">
        <x:v>本届数贸会将于2026年9月23日至27日在杭州大会展中心举办，但目前活动日程尚未公布，建议持续关注官方渠道。</x:v>
      </x:c>
      <x:c r="H6" s="45" t="str">
        <x:v>https://voicehub.commind.com/hzzx/mobile/?role=visitor</x:v>
      </x:c>
      <x:c r="I6" s="24" t="str">
        <x:v>追加对话</x:v>
      </x:c>
      <x:c r="J6" s="24" t="str">
        <x:v>无可用详细日程物料。</x:v>
      </x:c>
      <x:c r="K6" s="24" t="str">
        <x:v>2026-08-28（AI 输出可能变化）</x:v>
      </x:c>
    </x:row>
    <x:row r="7" ht="75" customHeight="1">
      <x:c r="A7" s="27" t="str">
        <x:v>V02</x:v>
      </x:c>
      <x:c r="B7" s="27" t="str">
        <x:v>visitor 页</x:v>
      </x:c>
      <x:c r="C7" s="24" t="str">
        <x:v>上方入口</x:v>
      </x:c>
      <x:c r="D7" s="24" t="str">
        <x:v>展区介绍</x:v>
      </x:c>
      <x:c r="E7" s="33" t="str">
        <x:v>对话回复</x:v>
      </x:c>
      <x:c r="F7" s="33" t="str">
        <x:v>可复用</x:v>
      </x:c>
      <x:c r="G7" s="24" t="str">
        <x:v>主题展区位于2号馆，以前沿趋势、头部企业、国际合作为三大板块；继续介绍具身智能、数字文娱、空天信息、数字医疗、跨境电商及智慧物流等内容。</x:v>
      </x:c>
      <x:c r="H7" s="45" t="str">
        <x:v>https://voicehub.commind.com/hzzx/mobile/?role=visitor</x:v>
      </x:c>
      <x:c r="I7" s="24" t="str">
        <x:v>追加对话</x:v>
      </x:c>
      <x:c r="J7" s="24" t="str">
        <x:v>展区板块口径需业务复核。</x:v>
      </x:c>
      <x:c r="K7" s="24" t="str">
        <x:v>2026-08-28（AI 输出可能变化）</x:v>
      </x:c>
    </x:row>
    <x:row r="8" ht="75" customHeight="1">
      <x:c r="A8" s="27" t="str">
        <x:v>V04</x:v>
      </x:c>
      <x:c r="B8" s="27" t="str">
        <x:v>visitor 页</x:v>
      </x:c>
      <x:c r="C8" s="24" t="str">
        <x:v>上方入口</x:v>
      </x:c>
      <x:c r="D8" s="24" t="str">
        <x:v>展商推荐</x:v>
      </x:c>
      <x:c r="E8" s="33" t="str">
        <x:v>推荐列表</x:v>
      </x:c>
      <x:c r="F8" s="33" t="str">
        <x:v>可复用</x:v>
      </x:c>
      <x:c r="G8" s="24" t="str">
        <x:v>分组返回：人工智能（迅实科技、GE医疗、每日互动）；丝路电商（亚马逊、阿里国际站、速卖通、Lazada、淘宝出海、SHEIN）；数字文娱（遥望科技、谦寻控股）。</x:v>
      </x:c>
      <x:c r="H8" s="45" t="str">
        <x:v>https://voicehub.commind.com/hzzx/mobile/?role=visitor</x:v>
      </x:c>
      <x:c r="I8" s="24" t="str">
        <x:v>追加推荐列表</x:v>
      </x:c>
      <x:c r="J8" s="24" t="str">
        <x:v>正式数据源与排序待确认。</x:v>
      </x:c>
      <x:c r="K8" s="24" t="str">
        <x:v>2026-08-28（AI 输出可能变化）</x:v>
      </x:c>
    </x:row>
    <x:row r="9" ht="75" customHeight="1">
      <x:c r="A9" s="27" t="str">
        <x:v>V05</x:v>
      </x:c>
      <x:c r="B9" s="27" t="str">
        <x:v>visitor 页</x:v>
      </x:c>
      <x:c r="C9" s="24" t="str">
        <x:v>上方入口</x:v>
      </x:c>
      <x:c r="D9" s="24" t="str">
        <x:v>首发首秀</x:v>
      </x:c>
      <x:c r="E9" s="33" t="str">
        <x:v>推荐列表</x:v>
      </x:c>
      <x:c r="F9" s="33" t="str">
        <x:v>可复用</x:v>
      </x:c>
      <x:c r="G9" s="24" t="str">
        <x:v>人工智能展区包含时空精灵、乾塘方舟、安恒等16家；数智医疗包含美年健康、德适生物、跨维生物等8家。</x:v>
      </x:c>
      <x:c r="H9" s="45" t="str">
        <x:v>https://voicehub.commind.com/hzzx/mobile/?role=visitor</x:v>
      </x:c>
      <x:c r="I9" s="24" t="str">
        <x:v>追加推荐列表</x:v>
      </x:c>
      <x:c r="J9" s="24" t="str">
        <x:v>缺少新品名称、亮点、时间和官方复核。</x:v>
      </x:c>
      <x:c r="K9" s="24" t="str">
        <x:v>2026-08-28（AI 输出可能变化）</x:v>
      </x:c>
    </x:row>
    <x:row r="10" ht="75" customHeight="1">
      <x:c r="A10" s="27" t="str">
        <x:v>V06,V08,V10</x:v>
      </x:c>
      <x:c r="B10" s="27" t="str">
        <x:v>visitor 页</x:v>
      </x:c>
      <x:c r="C10" s="24" t="str">
        <x:v>输入框上方</x:v>
      </x:c>
      <x:c r="D10" s="24" t="str">
        <x:v>逛展服务</x:v>
      </x:c>
      <x:c r="E10" s="33" t="str">
        <x:v>业务弹窗</x:v>
      </x:c>
      <x:c r="F10" s="33" t="str">
        <x:v>部分可复用</x:v>
      </x:c>
      <x:c r="G10" s="24" t="str">
        <x:v>展开菜单：展会服务、订餐服务、一键亮码。</x:v>
      </x:c>
      <x:c r="H10" s="45" t="str">
        <x:v>https://voicehub.commind.com/hzzx/mobile/?role=visitor</x:v>
      </x:c>
      <x:c r="I10" s="24" t="str">
        <x:v>同页展开菜单</x:v>
      </x:c>
      <x:c r="J10" s="24" t="str">
        <x:v>现网聚合入口与目标独立入口规则不同。</x:v>
      </x:c>
      <x:c r="K10" s="24" t="str">
        <x:v>2026-08-28（AI 输出可能变化）</x:v>
      </x:c>
    </x:row>
    <x:row r="11" ht="75" customHeight="1">
      <x:c r="A11" s="27" t="str">
        <x:v>V06</x:v>
      </x:c>
      <x:c r="B11" s="27" t="str">
        <x:v>visitor 页</x:v>
      </x:c>
      <x:c r="C11" s="24" t="str">
        <x:v>二级菜单</x:v>
      </x:c>
      <x:c r="D11" s="24" t="str">
        <x:v>逛展服务 &gt; 展会服务</x:v>
      </x:c>
      <x:c r="E11" s="33" t="str">
        <x:v>业务弹窗</x:v>
      </x:c>
      <x:c r="F11" s="33" t="str">
        <x:v>部分可复用</x:v>
      </x:c>
      <x:c r="G11" s="24" t="str">
        <x:v>展开服务台、停车场、洗手间、交通方式。</x:v>
      </x:c>
      <x:c r="H11" s="45" t="str">
        <x:v>https://voicehub.commind.com/hzzx/mobile/?role=visitor</x:v>
      </x:c>
      <x:c r="I11" s="24" t="str">
        <x:v>同页展开二级菜单</x:v>
      </x:c>
      <x:c r="J11" s="24" t="str">
        <x:v>距离、定位和导航能力不完整。</x:v>
      </x:c>
      <x:c r="K11" s="24" t="str">
        <x:v>2026-08-28（AI 输出可能变化）</x:v>
      </x:c>
    </x:row>
    <x:row r="12" ht="75" customHeight="1">
      <x:c r="A12" s="27" t="str">
        <x:v>V06</x:v>
      </x:c>
      <x:c r="B12" s="27" t="str">
        <x:v>visitor 页</x:v>
      </x:c>
      <x:c r="C12" s="24" t="str">
        <x:v>三级入口</x:v>
      </x:c>
      <x:c r="D12" s="24" t="str">
        <x:v>展会服务 &gt; 服务台</x:v>
      </x:c>
      <x:c r="E12" s="33" t="str">
        <x:v>对话回复</x:v>
      </x:c>
      <x:c r="F12" s="33" t="str">
        <x:v>部分可复用</x:v>
      </x:c>
      <x:c r="G12" s="24" t="str">
        <x:v>未查到服务台具体位置、开放时间和服务内容，建议以现场导视或咨询工作人员为准。</x:v>
      </x:c>
      <x:c r="H12" s="45" t="str">
        <x:v>https://voicehub.commind.com/hzzx/mobile/?role=visitor</x:v>
      </x:c>
      <x:c r="I12" s="24" t="str">
        <x:v>追加对话</x:v>
      </x:c>
      <x:c r="J12" s="24" t="str">
        <x:v>缺少服务台物料，不能完成导航。</x:v>
      </x:c>
      <x:c r="K12" s="24" t="str">
        <x:v>2026-08-28（AI 输出可能变化）</x:v>
      </x:c>
    </x:row>
    <x:row r="13" ht="75" customHeight="1">
      <x:c r="A13" s="27" t="str">
        <x:v>V06</x:v>
      </x:c>
      <x:c r="B13" s="27" t="str">
        <x:v>visitor 页</x:v>
      </x:c>
      <x:c r="C13" s="24" t="str">
        <x:v>三级入口</x:v>
      </x:c>
      <x:c r="D13" s="24" t="str">
        <x:v>展会服务 &gt; 停车场</x:v>
      </x:c>
      <x:c r="E13" s="33" t="str">
        <x:v>推荐列表</x:v>
      </x:c>
      <x:c r="F13" s="33" t="str">
        <x:v>部分可复用</x:v>
      </x:c>
      <x:c r="G13" s="24" t="str">
        <x:v>返回 5 个地图卡片，含名称、地址和查看路线操作。</x:v>
      </x:c>
      <x:c r="H13" s="45" t="str">
        <x:v>https://voicehub.commind.com/hzzx/mobile/?role=visitor</x:v>
      </x:c>
      <x:c r="I13" s="24" t="str">
        <x:v>查看路线后无新页和可见反馈</x:v>
      </x:c>
      <x:c r="J13" s="24" t="str">
        <x:v>回复包含内部式指令文案风险；路线交互反馈缺失。</x:v>
      </x:c>
      <x:c r="K13" s="24" t="str">
        <x:v>2026-08-28（AI 输出可能变化）</x:v>
      </x:c>
    </x:row>
    <x:row r="14" ht="75" customHeight="1">
      <x:c r="A14" s="27" t="str">
        <x:v>V06</x:v>
      </x:c>
      <x:c r="B14" s="27" t="str">
        <x:v>visitor 页</x:v>
      </x:c>
      <x:c r="C14" s="24" t="str">
        <x:v>三级入口</x:v>
      </x:c>
      <x:c r="D14" s="24" t="str">
        <x:v>展会服务 &gt; 洗手间</x:v>
      </x:c>
      <x:c r="E14" s="33" t="str">
        <x:v>推荐列表</x:v>
      </x:c>
      <x:c r="F14" s="33" t="str">
        <x:v>部分可复用</x:v>
      </x:c>
      <x:c r="G14" s="24" t="str">
        <x:v>返回 5 个地图卡片，含名称、地址和查看路线操作。</x:v>
      </x:c>
      <x:c r="H14" s="45" t="str">
        <x:v>https://voicehub.commind.com/hzzx/mobile/?role=visitor</x:v>
      </x:c>
      <x:c r="I14" s="24" t="str">
        <x:v>查看路线后无新页和可见反馈</x:v>
      </x:c>
      <x:c r="J14" s="24" t="str">
        <x:v>回复包含内部式指令文案风险；路线交互反馈缺失。</x:v>
      </x:c>
      <x:c r="K14" s="24" t="str">
        <x:v>2026-08-28（AI 输出可能变化）</x:v>
      </x:c>
    </x:row>
    <x:row r="15" ht="75" customHeight="1">
      <x:c r="A15" s="27" t="str">
        <x:v>V06</x:v>
      </x:c>
      <x:c r="B15" s="27" t="str">
        <x:v>visitor 页</x:v>
      </x:c>
      <x:c r="C15" s="24" t="str">
        <x:v>三级入口</x:v>
      </x:c>
      <x:c r="D15" s="24" t="str">
        <x:v>展会服务 &gt; 交通方式</x:v>
      </x:c>
      <x:c r="E15" s="33" t="str">
        <x:v>对话回复</x:v>
      </x:c>
      <x:c r="F15" s="33" t="str">
        <x:v>可复用</x:v>
      </x:c>
      <x:c r="G15" s="24" t="str">
        <x:v>地铁：1号线大会展中心站 A 口/C2 口；自驾：地下停车场；公交：可选线路较少。</x:v>
      </x:c>
      <x:c r="H15" s="45" t="str">
        <x:v>https://voicehub.commind.com/hzzx/mobile/?role=visitor</x:v>
      </x:c>
      <x:c r="I15" s="24" t="str">
        <x:v>追加对话</x:v>
      </x:c>
      <x:c r="J15" s="24" t="str">
        <x:v>无实时路况、出入口开放状态和路线规划。</x:v>
      </x:c>
      <x:c r="K15" s="24" t="str">
        <x:v>2026-08-28（AI 输出可能变化）</x:v>
      </x:c>
    </x:row>
    <x:row r="16" ht="75" customHeight="1">
      <x:c r="A16" s="27" t="str">
        <x:v>V08,B08,M06</x:v>
      </x:c>
      <x:c r="B16" s="27" t="str">
        <x:v>visitor 页</x:v>
      </x:c>
      <x:c r="C16" s="24" t="str">
        <x:v>二级菜单</x:v>
      </x:c>
      <x:c r="D16" s="24" t="str">
        <x:v>逛展服务 &gt; 订餐服务</x:v>
      </x:c>
      <x:c r="E16" s="33" t="str">
        <x:v>推荐列表</x:v>
      </x:c>
      <x:c r="F16" s="33" t="str">
        <x:v>可复用</x:v>
      </x:c>
      <x:c r="G16" s="24" t="str">
        <x:v>返回 5 家餐饮样例：好运客、花泰、雷泰泰、禾月、虾匠。</x:v>
      </x:c>
      <x:c r="H16" s="45" t="str">
        <x:v>https://voicehub.commind.com/hzzx/mobile/?role=visitor</x:v>
      </x:c>
      <x:c r="I16" s="24" t="str">
        <x:v>追加推荐列表</x:v>
      </x:c>
      <x:c r="J16" s="24" t="str">
        <x:v>店铺、营业状态待确认，无真实预订闭环。</x:v>
      </x:c>
      <x:c r="K16" s="24" t="str">
        <x:v>2026-08-28（AI 输出可能变化）</x:v>
      </x:c>
    </x:row>
    <x:row r="17" ht="75" customHeight="1">
      <x:c r="A17" s="27" t="str">
        <x:v>V10,E10,B09</x:v>
      </x:c>
      <x:c r="B17" s="27" t="str">
        <x:v>visitor 页</x:v>
      </x:c>
      <x:c r="C17" s="24" t="str">
        <x:v>二级菜单</x:v>
      </x:c>
      <x:c r="D17" s="24" t="str">
        <x:v>逛展服务 &gt; 一键亮码</x:v>
      </x:c>
      <x:c r="E17" s="33" t="str">
        <x:v>业务弹窗</x:v>
      </x:c>
      <x:c r="F17" s="33" t="str">
        <x:v>不可复用</x:v>
      </x:c>
      <x:c r="G17" s="24" t="str">
        <x:v>Toast：当前入口还没有配置跳转地址。</x:v>
      </x:c>
      <x:c r="H17" s="45" t="str">
        <x:v>https://voicehub.commind.com/hzzx/mobile/?role=visitor</x:v>
      </x:c>
      <x:c r="I17" s="24" t="str">
        <x:v>不跳转</x:v>
      </x:c>
      <x:c r="J17" s="24" t="str">
        <x:v>亮码地址缺失。</x:v>
      </x:c>
      <x:c r="K17" s="24" t="str">
        <x:v>2026-08-28（AI 输出可能变化）</x:v>
      </x:c>
    </x:row>
    <x:row r="18" ht="75" customHeight="1">
      <x:c r="A18" s="27" t="str">
        <x:v>—</x:v>
      </x:c>
      <x:c r="B18" s="27" t="str">
        <x:v>visitor 页</x:v>
      </x:c>
      <x:c r="C18" s="24" t="str">
        <x:v>输入框上方</x:v>
      </x:c>
      <x:c r="D18" s="24" t="str">
        <x:v>活动跳转</x:v>
      </x:c>
      <x:c r="E18" s="33" t="str">
        <x:v>对话回复</x:v>
      </x:c>
      <x:c r="F18" s="33" t="str">
        <x:v>不可复用</x:v>
      </x:c>
      <x:c r="G18" s="24" t="str">
        <x:v>没有查到活动跳转具体信息。</x:v>
      </x:c>
      <x:c r="H18" s="45" t="str">
        <x:v>https://voicehub.commind.com/hzzx/mobile/?role=visitor</x:v>
      </x:c>
      <x:c r="I18" s="24" t="str">
        <x:v>不跳转</x:v>
      </x:c>
      <x:c r="J18" s="24" t="str">
        <x:v>非目标矩阵入口，且无有效内容或地址。</x:v>
      </x:c>
      <x:c r="K18" s="24" t="str">
        <x:v>2026-08-28（AI 输出可能变化）</x:v>
      </x:c>
    </x:row>
    <x:row r="19" ht="75" customHeight="1">
      <x:c r="A19" s="27" t="str">
        <x:v>E05</x:v>
      </x:c>
      <x:c r="B19" s="27" t="str">
        <x:v>visitor 页</x:v>
      </x:c>
      <x:c r="C19" s="24" t="str">
        <x:v>输入框上方</x:v>
      </x:c>
      <x:c r="D19" s="24" t="str">
        <x:v>DT奖</x:v>
      </x:c>
      <x:c r="E19" s="33" t="str">
        <x:v>对话回复</x:v>
      </x:c>
      <x:c r="F19" s="33" t="str">
        <x:v>部分可复用</x:v>
      </x:c>
      <x:c r="G19" s="24" t="str">
        <x:v>返回往届介绍与奖项样例；本届申报规则、时间、评审进度和入口未给出。</x:v>
      </x:c>
      <x:c r="H19" s="45" t="str">
        <x:v>https://voicehub.commind.com/hzzx/mobile/?role=visitor</x:v>
      </x:c>
      <x:c r="I19" s="24" t="str">
        <x:v>追加对话</x:v>
      </x:c>
      <x:c r="J19" s="24" t="str">
        <x:v>现网位于 visitor 页，与目标展商快捷入口定位不一致。</x:v>
      </x:c>
      <x:c r="K19" s="24" t="str">
        <x:v>2026-08-28（AI 输出可能变化）</x:v>
      </x:c>
    </x:row>
    <x:row r="20" ht="75" customHeight="1">
      <x:c r="A20" s="27" t="str">
        <x:v>E02,B01</x:v>
      </x:c>
      <x:c r="B20" s="27" t="str">
        <x:v>visitor 页</x:v>
      </x:c>
      <x:c r="C20" s="24" t="str">
        <x:v>输入框上方</x:v>
      </x:c>
      <x:c r="D20" s="24" t="str">
        <x:v>数贸在线</x:v>
      </x:c>
      <x:c r="E20" s="33" t="str">
        <x:v>外部链接</x:v>
      </x:c>
      <x:c r="F20" s="33" t="str">
        <x:v>部分可复用</x:v>
      </x:c>
      <x:c r="G20" s="24" t="str">
        <x:v>回复提供数贸在线官网文本。</x:v>
      </x:c>
      <x:c r="H20" s="45" t="str">
        <x:v>https://www.gdteonline.com/（异常 href 未保存）</x:v>
      </x:c>
      <x:c r="I20" s="24" t="str">
        <x:v>现网链接尾部含异常标点</x:v>
      </x:c>
      <x:c r="J20" s="24" t="str">
        <x:v>异常 href 可能导致错误跳转。</x:v>
      </x:c>
      <x:c r="K20" s="24" t="str">
        <x:v>2026-08-28（AI 输出可能变化）</x:v>
      </x:c>
    </x:row>
    <x:row r="21" ht="75" customHeight="1">
      <x:c r="A21" s="27" t="str">
        <x:v>E01,B04</x:v>
      </x:c>
      <x:c r="B21" s="27" t="str">
        <x:v>visitor 页</x:v>
      </x:c>
      <x:c r="C21" s="24" t="str">
        <x:v>输入框上方</x:v>
      </x:c>
      <x:c r="D21" s="24" t="str">
        <x:v>产业链接</x:v>
      </x:c>
      <x:c r="E21" s="33" t="str">
        <x:v>对话回复</x:v>
      </x:c>
      <x:c r="F21" s="33" t="str">
        <x:v>部分可复用</x:v>
      </x:c>
      <x:c r="G21" s="24" t="str">
        <x:v>返回 9 月 25—28 日的产业活动摘要。</x:v>
      </x:c>
      <x:c r="H21" s="45" t="str">
        <x:v>https://voicehub.commind.com/hzzx/mobile/?role=visitor</x:v>
      </x:c>
      <x:c r="I21" s="24" t="str">
        <x:v>追加对话</x:v>
      </x:c>
      <x:c r="J21" s="24" t="str">
        <x:v>仅活动摘要，未形成角色匹配、报名和换一批。</x:v>
      </x:c>
      <x:c r="K21" s="24" t="str">
        <x:v>2026-08-28（AI 输出可能变化）</x:v>
      </x:c>
    </x:row>
    <x:row r="22" ht="75" customHeight="1">
      <x:c r="A22" s="27" t="str">
        <x:v>E01-E10</x:v>
      </x:c>
      <x:c r="B22" s="27" t="str">
        <x:v>exhibitor 页</x:v>
      </x:c>
      <x:c r="C22" s="24" t="str">
        <x:v>首页</x:v>
      </x:c>
      <x:c r="D22" s="24" t="str">
        <x:v>打开页面</x:v>
      </x:c>
      <x:c r="E22" s="33" t="str">
        <x:v>内部功能页</x:v>
      </x:c>
      <x:c r="F22" s="33" t="str">
        <x:v>不可复用</x:v>
      </x:c>
      <x:c r="G22" s="24" t="str">
        <x:v>实际显示媒体风格能力：智能创作、公共素材库、传播投手。</x:v>
      </x:c>
      <x:c r="H22" s="45" t="str">
        <x:v>https://voicehub.commind.com/hzzx/mobile/?role=exhibitor</x:v>
      </x:c>
      <x:c r="I22" s="24" t="str">
        <x:v>同页展示</x:v>
      </x:c>
      <x:c r="J22" s="24" t="str">
        <x:v>角色展示错位，不是 Excel 展商功能矩阵。</x:v>
      </x:c>
      <x:c r="K22" s="24" t="str">
        <x:v>2026-08-28（AI 输出可能变化）</x:v>
      </x:c>
    </x:row>
    <x:row r="23" ht="75" customHeight="1">
      <x:c r="A23" s="27" t="str">
        <x:v>E08,M02</x:v>
      </x:c>
      <x:c r="B23" s="27" t="str">
        <x:v>exhibitor 页</x:v>
      </x:c>
      <x:c r="C23" s="24" t="str">
        <x:v>上方入口</x:v>
      </x:c>
      <x:c r="D23" s="24" t="str">
        <x:v>智能创作</x:v>
      </x:c>
      <x:c r="E23" s="33" t="str">
        <x:v>内部功能页</x:v>
      </x:c>
      <x:c r="F23" s="33" t="str">
        <x:v>可复用</x:v>
      </x:c>
      <x:c r="G23" s="24" t="str">
        <x:v>进入创作页：智绘 AI 海报、智记会议速记、智创 AI 编辑室、智影 AI 成片、智写 AI 写作。</x:v>
      </x:c>
      <x:c r="H23" s="45" t="str">
        <x:v>https://voicehub.commind.com/hzzx/mobile/creation/（非敏感查询参数省略）</x:v>
      </x:c>
      <x:c r="I23" s="24" t="str">
        <x:v>同站内跳转成功</x:v>
      </x:c>
      <x:c r="J23" s="24" t="str">
        <x:v>功能可复用，但 exhibitor 首页角色定位错位。</x:v>
      </x:c>
      <x:c r="K23" s="24" t="str">
        <x:v>2026-08-28（AI 输出可能变化）</x:v>
      </x:c>
    </x:row>
    <x:row r="24" ht="75" customHeight="1">
      <x:c r="A24" s="27" t="str">
        <x:v>M01</x:v>
      </x:c>
      <x:c r="B24" s="27" t="str">
        <x:v>exhibitor 页</x:v>
      </x:c>
      <x:c r="C24" s="24" t="str">
        <x:v>上方入口</x:v>
      </x:c>
      <x:c r="D24" s="24" t="str">
        <x:v>公共素材库</x:v>
      </x:c>
      <x:c r="E24" s="33" t="str">
        <x:v>外部链接</x:v>
      </x:c>
      <x:c r="F24" s="33" t="str">
        <x:v>不可复用</x:v>
      </x:c>
      <x:c r="G24" s="24" t="str">
        <x:v>跳转后返回 500 nginx。动态鉴权值：&lt;已脱敏动态鉴权参数&gt;。</x:v>
      </x:c>
      <x:c r="H24" s="45" t="str">
        <x:v>https://voicehub.commind.com/imam-longwan/mediaSourcesH5/…（异常路径与查询参数未保存）</x:v>
      </x:c>
      <x:c r="I24" s="24" t="str">
        <x:v>跳转后显示 500 nginx</x:v>
      </x:c>
      <x:c r="J24" s="24" t="str">
        <x:v>素材库不可用；未保存完整异常 URL 或任何鉴权值。</x:v>
      </x:c>
      <x:c r="K24" s="24" t="str">
        <x:v>2026-08-28（AI 输出可能变化）</x:v>
      </x:c>
    </x:row>
    <x:row r="25" ht="75" customHeight="1">
      <x:c r="A25" s="27" t="str">
        <x:v>E09</x:v>
      </x:c>
      <x:c r="B25" s="27" t="str">
        <x:v>exhibitor 页</x:v>
      </x:c>
      <x:c r="C25" s="24" t="str">
        <x:v>上方入口</x:v>
      </x:c>
      <x:c r="D25" s="24" t="str">
        <x:v>传播投手</x:v>
      </x:c>
      <x:c r="E25" s="33" t="str">
        <x:v>业务弹窗</x:v>
      </x:c>
      <x:c r="F25" s="33" t="str">
        <x:v>部分可复用</x:v>
      </x:c>
      <x:c r="G25" s="24" t="str">
        <x:v>打开两步弹窗；第一步包含企业名称、服务类型、服务明细、传播要求。</x:v>
      </x:c>
      <x:c r="H25" s="45" t="str">
        <x:v>https://voicehub.commind.com/hzzx/mobile/?role=exhibitor</x:v>
      </x:c>
      <x:c r="I25" s="24" t="str">
        <x:v>同页打开弹窗</x:v>
      </x:c>
      <x:c r="J25" s="24" t="str">
        <x:v>第二步字段和提交结果未验证。</x:v>
      </x:c>
      <x:c r="K25" s="24" t="str">
        <x:v>2026-08-28（AI 输出可能变化）</x:v>
      </x:c>
    </x:row>
    <x:row r="26" ht="75" customHeight="1">
      <x:c r="A26" s="27" t="str">
        <x:v>E09</x:v>
      </x:c>
      <x:c r="B26" s="27" t="str">
        <x:v>exhibitor 页</x:v>
      </x:c>
      <x:c r="C26" s="24" t="str">
        <x:v>弹窗校验</x:v>
      </x:c>
      <x:c r="D26" s="24" t="str">
        <x:v>传播投手 &gt; 空值点击下一步</x:v>
      </x:c>
      <x:c r="E26" s="33" t="str">
        <x:v>业务弹窗</x:v>
      </x:c>
      <x:c r="F26" s="33" t="str">
        <x:v>部分可复用</x:v>
      </x:c>
      <x:c r="G26" s="24" t="str">
        <x:v>Toast：请完整填写当前步骤必填项。</x:v>
      </x:c>
      <x:c r="H26" s="45" t="str">
        <x:v>https://voicehub.commind.com/hzzx/mobile/?role=exhibitor</x:v>
      </x:c>
      <x:c r="I26" s="24" t="str">
        <x:v>阻止进入下一步</x:v>
      </x:c>
      <x:c r="J26" s="24" t="str">
        <x:v>未填写、未提交；未验证第二步和成功/失败反馈。</x:v>
      </x:c>
      <x:c r="K26" s="24" t="str">
        <x:v>2026-08-28（AI 输出可能变化）</x:v>
      </x:c>
    </x:row>
    <x:row r="27" ht="75" customHeight="1">
      <x:c r="A27" s="27" t="str">
        <x:v>全部入口</x:v>
      </x:c>
      <x:c r="B27" s="27" t="str">
        <x:v>通用壳层</x:v>
      </x:c>
      <x:c r="C27" s="24" t="str">
        <x:v>设置</x:v>
      </x:c>
      <x:c r="D27" s="24" t="str">
        <x:v>语音播报按钮</x:v>
      </x:c>
      <x:c r="E27" s="33" t="str">
        <x:v>业务弹窗</x:v>
      </x:c>
      <x:c r="F27" s="33" t="str">
        <x:v>可复用</x:v>
      </x:c>
      <x:c r="G27" s="24" t="str">
        <x:v>打开语音播报开关与清空对话菜单。</x:v>
      </x:c>
      <x:c r="H27" s="45" t="str">
        <x:v>https://voicehub.commind.com/hzzx/mobile/</x:v>
      </x:c>
      <x:c r="I27" s="24" t="str">
        <x:v>同页展开菜单</x:v>
      </x:c>
      <x:c r="J27" s="24" t="str">
        <x:v>原型仅演示本地状态。</x:v>
      </x:c>
      <x:c r="K27" s="24" t="str">
        <x:v>2026-08-28（AI 输出可能变化）</x:v>
      </x:c>
    </x:row>
    <x:row r="28" ht="75" customHeight="1">
      <x:c r="A28" s="27" t="str">
        <x:v>全部入口</x:v>
      </x:c>
      <x:c r="B28" s="27" t="str">
        <x:v>通用壳层</x:v>
      </x:c>
      <x:c r="C28" s="24" t="str">
        <x:v>输入区</x:v>
      </x:c>
      <x:c r="D28" s="24" t="str">
        <x:v>语言</x:v>
      </x:c>
      <x:c r="E28" s="33" t="str">
        <x:v>业务弹窗</x:v>
      </x:c>
      <x:c r="F28" s="33" t="str">
        <x:v>部分可复用</x:v>
      </x:c>
      <x:c r="G28" s="24" t="str">
        <x:v>语言菜单：中文、English、日本語、한국어。</x:v>
      </x:c>
      <x:c r="H28" s="45" t="str">
        <x:v>https://voicehub.commind.com/hzzx/mobile/</x:v>
      </x:c>
      <x:c r="I28" s="24" t="str">
        <x:v>同页展开菜单</x:v>
      </x:c>
      <x:c r="J28" s="24" t="str">
        <x:v>非中文语料完整性未验证。</x:v>
      </x:c>
      <x:c r="K28" s="24" t="str">
        <x:v>2026-08-28（AI 输出可能变化）</x:v>
      </x:c>
    </x:row>
    <x:row r="29" ht="75" customHeight="1">
      <x:c r="A29" s="27" t="str">
        <x:v>全部入口</x:v>
      </x:c>
      <x:c r="B29" s="27" t="str">
        <x:v>通用壳层</x:v>
      </x:c>
      <x:c r="C29" s="24" t="str">
        <x:v>推荐问题</x:v>
      </x:c>
      <x:c r="D29" s="24" t="str">
        <x:v>换一批</x:v>
      </x:c>
      <x:c r="E29" s="33" t="str">
        <x:v>内部功能页</x:v>
      </x:c>
      <x:c r="F29" s="33" t="str">
        <x:v>可复用</x:v>
      </x:c>
      <x:c r="G29" s="24" t="str">
        <x:v>替换当前 4 条推荐问题。</x:v>
      </x:c>
      <x:c r="H29" s="45" t="str">
        <x:v>https://voicehub.commind.com/hzzx/mobile/</x:v>
      </x:c>
      <x:c r="I29" s="24" t="str">
        <x:v>本页刷新问题</x:v>
      </x:c>
      <x:c r="J29" s="24" t="str">
        <x:v>正式题库与角色映射待确认。</x:v>
      </x:c>
      <x:c r="K29" s="24" t="str">
        <x:v>2026-08-28（AI 输出可能变化）</x:v>
      </x:c>
    </x:row>
    <x:row r="30" ht="75" customHeight="1">
      <x:c r="A30" s="28" t="str">
        <x:v>全部入口</x:v>
      </x:c>
      <x:c r="B30" s="28" t="str">
        <x:v>通用壳层</x:v>
      </x:c>
      <x:c r="C30" s="25" t="str">
        <x:v>消息操作</x:v>
      </x:c>
      <x:c r="D30" s="25" t="str">
        <x:v>赞/踩/播报</x:v>
      </x:c>
      <x:c r="E30" s="34" t="str">
        <x:v>内部功能页</x:v>
      </x:c>
      <x:c r="F30" s="34" t="str">
        <x:v>部分可复用</x:v>
      </x:c>
      <x:c r="G30" s="25" t="str">
        <x:v>系统消息显示赞、踩和播报操作；未发现外部反馈提交。</x:v>
      </x:c>
      <x:c r="H30" s="46" t="str">
        <x:v>https://voicehub.commind.com/hzzx/mobile/</x:v>
      </x:c>
      <x:c r="I30" s="25" t="str">
        <x:v>不跳转</x:v>
      </x:c>
      <x:c r="J30" s="25" t="str">
        <x:v>原型仅保留本地状态，不实施外部写入。</x:v>
      </x:c>
      <x:c r="K30" s="25" t="str">
        <x:v>2026-08-28（AI 输出可能变化）</x:v>
      </x:c>
    </x:row>
  </x:sheetData>
  <x:mergeCells>
    <x:mergeCell ref="A1:K1"/>
    <x:mergeCell ref="A2:K2"/>
  </x:mergeCells>
  <x:conditionalFormatting sqref="J5:J30">
    <x:cfRule type="notContainsBlanks" dxfId="8" priority="1"/>
  </x:conditionalFormatting>
  <x:dataValidations count="2">
    <x:dataValidation type="list" sqref="E5:E30">
      <x:formula1>"对话回复,推荐列表,内部功能页,外部链接,业务弹窗,待补充占位"</x:formula1>
    </x:dataValidation>
    <x:dataValidation type="list" sqref="F5:F30">
      <x:formula1>"可复用,部分可复用,不可复用,未实测"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cae7e9f3054ee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0" hidden="0" customWidth="1"/>
    <x:col min="3" max="3" width="26" hidden="0" customWidth="1"/>
    <x:col min="4" max="4" width="59" hidden="0" customWidth="1"/>
    <x:col min="5" max="5" width="20" hidden="0" customWidth="1"/>
    <x:col min="6" max="6" width="22" hidden="0" customWidth="1"/>
    <x:col min="7" max="7" width="31" hidden="0" customWidth="1"/>
    <x:col min="8" max="8" width="10" hidden="0" customWidth="1"/>
    <x:col min="9" max="9" width="16" hidden="0" customWidth="1"/>
    <x:col min="10" max="10" width="45" hidden="0" customWidth="1"/>
  </x:cols>
  <x:sheetData>
    <x:row r="1" ht="35" customHeight="1">
      <x:c r="A1" s="3" t="str">
        <x:v>待客户补充的物料与决策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1" customHeight="1">
      <x:c r="A2" s="7" t="str">
        <x:v>缺口按地址/数据/规则/文案/权限/表单/素材分类。P0=阻断角色、核心跳转或安全可用性；P1=阻断功能完整展示；P2=可后续补齐。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3" customHeight="1">
      <x:c r="A4" s="12" t="str">
        <x:v>缺口ID</x:v>
      </x:c>
      <x:c r="B4" s="12" t="str">
        <x:v>分类</x:v>
      </x:c>
      <x:c r="C4" s="12" t="str">
        <x:v>缺失物料/问题</x:v>
      </x:c>
      <x:c r="D4" s="12" t="str">
        <x:v>需要客户提供的内容</x:v>
      </x:c>
      <x:c r="E4" s="12" t="str">
        <x:v>影响角色</x:v>
      </x:c>
      <x:c r="F4" s="12" t="str">
        <x:v>关联入口ID</x:v>
      </x:c>
      <x:c r="G4" s="12" t="str">
        <x:v>建议格式</x:v>
      </x:c>
      <x:c r="H4" s="12" t="str">
        <x:v>优先级</x:v>
      </x:c>
      <x:c r="I4" s="12" t="str">
        <x:v>确认状态</x:v>
      </x:c>
      <x:c r="J4" s="12" t="str">
        <x:v>备注</x:v>
      </x:c>
    </x:row>
    <x:row r="5" ht="69" customHeight="1">
      <x:c r="A5" s="29" t="str">
        <x:v>G001</x:v>
      </x:c>
      <x:c r="B5" s="29" t="str">
        <x:v>权限</x:v>
      </x:c>
      <x:c r="C5" s="26" t="str">
        <x:v>角色识别与编码</x:v>
      </x:c>
      <x:c r="D5" s="23" t="str">
        <x:v>正式环境角色取值、四角色编码、多角色优先级与无角色处理</x:v>
      </x:c>
      <x:c r="E5" s="23" t="str">
        <x:v>四角色</x:v>
      </x:c>
      <x:c r="F5" s="23" t="str">
        <x:v>全部入口</x:v>
      </x:c>
      <x:c r="G5" s="23" t="str">
        <x:v>对照表 + 规则说明</x:v>
      </x:c>
      <x:c r="H5" s="32" t="str">
        <x:v>P0</x:v>
      </x:c>
      <x:c r="I5" s="32" t="str">
        <x:v>待客户补充</x:v>
      </x:c>
      <x:c r="J5" s="23" t="str">
        <x:v>原型 role 参数仅用于评审。</x:v>
      </x:c>
    </x:row>
    <x:row r="6" ht="69" customHeight="1">
      <x:c r="A6" s="30" t="str">
        <x:v>G002</x:v>
      </x:c>
      <x:c r="B6" s="30" t="str">
        <x:v>权限</x:v>
      </x:c>
      <x:c r="C6" s="27" t="str">
        <x:v>展商页角色错位</x:v>
      </x:c>
      <x:c r="D6" s="24" t="str">
        <x:v>确认现网 exhibitor 显示媒体风格的原因及展商/媒体正式归属</x:v>
      </x:c>
      <x:c r="E6" s="24" t="str">
        <x:v>展商、媒体</x:v>
      </x:c>
      <x:c r="F6" s="24" t="str">
        <x:v>E01-E10,M01-M07</x:v>
      </x:c>
      <x:c r="G6" s="24" t="str">
        <x:v>页面截图 + 角色映射</x:v>
      </x:c>
      <x:c r="H6" s="33" t="str">
        <x:v>P0</x:v>
      </x:c>
      <x:c r="I6" s="33" t="str">
        <x:v>待客户补充</x:v>
      </x:c>
      <x:c r="J6" s="24" t="str">
        <x:v>现网与 Excel 明显不一致。</x:v>
      </x:c>
    </x:row>
    <x:row r="7" ht="69" customHeight="1">
      <x:c r="A7" s="30" t="str">
        <x:v>G003</x:v>
      </x:c>
      <x:c r="B7" s="30" t="str">
        <x:v>文案</x:v>
      </x:c>
      <x:c r="C7" s="27" t="str">
        <x:v>展会速览口径</x:v>
      </x:c>
      <x:c r="D7" s="24" t="str">
        <x:v>本届亮点、规模、主题、时间、地点与更新日期</x:v>
      </x:c>
      <x:c r="E7" s="24" t="str">
        <x:v>普通用户</x:v>
      </x:c>
      <x:c r="F7" s="24" t="str">
        <x:v>V01</x:v>
      </x:c>
      <x:c r="G7" s="24" t="str">
        <x:v>结构化文案</x:v>
      </x:c>
      <x:c r="H7" s="33" t="str">
        <x:v>P1</x:v>
      </x:c>
      <x:c r="I7" s="33" t="str">
        <x:v>待客户补充</x:v>
      </x:c>
      <x:c r="J7" s="24" t="str">
        <x:v>需避免过期数据。</x:v>
      </x:c>
    </x:row>
    <x:row r="8" ht="69" customHeight="1">
      <x:c r="A8" s="30" t="str">
        <x:v>G004</x:v>
      </x:c>
      <x:c r="B8" s="30" t="str">
        <x:v>数据</x:v>
      </x:c>
      <x:c r="C8" s="27" t="str">
        <x:v>展区介绍复核</x:v>
      </x:c>
      <x:c r="D8" s="24" t="str">
        <x:v>8 大展区名称、馆号、介绍、亮点、平面图和展商</x:v>
      </x:c>
      <x:c r="E8" s="24" t="str">
        <x:v>普通用户</x:v>
      </x:c>
      <x:c r="F8" s="24" t="str">
        <x:v>V02</x:v>
      </x:c>
      <x:c r="G8" s="24" t="str">
        <x:v>清单 + 图片/平面图</x:v>
      </x:c>
      <x:c r="H8" s="33" t="str">
        <x:v>P1</x:v>
      </x:c>
      <x:c r="I8" s="33" t="str">
        <x:v>待客户补充</x:v>
      </x:c>
      <x:c r="J8" s="24" t="str">
        <x:v>现网口径需复核。</x:v>
      </x:c>
    </x:row>
    <x:row r="9" ht="69" customHeight="1">
      <x:c r="A9" s="30" t="str">
        <x:v>G005</x:v>
      </x:c>
      <x:c r="B9" s="30" t="str">
        <x:v>数据</x:v>
      </x:c>
      <x:c r="C9" s="27" t="str">
        <x:v>完整活动日程</x:v>
      </x:c>
      <x:c r="D9" s="24" t="str">
        <x:v>活动名称、时间、地点、类型、参与方式、详情/报名入口</x:v>
      </x:c>
      <x:c r="E9" s="24" t="str">
        <x:v>普通用户、媒体</x:v>
      </x:c>
      <x:c r="F9" s="24" t="str">
        <x:v>V03,M04</x:v>
      </x:c>
      <x:c r="G9" s="24" t="str">
        <x:v>Excel/CSV + 详情链接</x:v>
      </x:c>
      <x:c r="H9" s="33" t="str">
        <x:v>P0</x:v>
      </x:c>
      <x:c r="I9" s="33" t="str">
        <x:v>待客户补充</x:v>
      </x:c>
      <x:c r="J9" s="24" t="str">
        <x:v>当前日程尚未公布。</x:v>
      </x:c>
    </x:row>
    <x:row r="10" ht="69" customHeight="1">
      <x:c r="A10" s="30" t="str">
        <x:v>G006</x:v>
      </x:c>
      <x:c r="B10" s="30" t="str">
        <x:v>数据</x:v>
      </x:c>
      <x:c r="C10" s="27" t="str">
        <x:v>展商推荐数据与规则</x:v>
      </x:c>
      <x:c r="D10" s="24" t="str">
        <x:v>展商库、展区/标签、排序、换一批、详情与下线规则</x:v>
      </x:c>
      <x:c r="E10" s="24" t="str">
        <x:v>普通用户</x:v>
      </x:c>
      <x:c r="F10" s="24" t="str">
        <x:v>V04</x:v>
      </x:c>
      <x:c r="G10" s="24" t="str">
        <x:v>Excel/CSV + 规则</x:v>
      </x:c>
      <x:c r="H10" s="33" t="str">
        <x:v>P1</x:v>
      </x:c>
      <x:c r="I10" s="33" t="str">
        <x:v>待客户补充</x:v>
      </x:c>
      <x:c r="J10" s="24" t="str">
        <x:v>实测企业仅作样例。</x:v>
      </x:c>
    </x:row>
    <x:row r="11" ht="69" customHeight="1">
      <x:c r="A11" s="30" t="str">
        <x:v>G007</x:v>
      </x:c>
      <x:c r="B11" s="30" t="str">
        <x:v>数据</x:v>
      </x:c>
      <x:c r="C11" s="27" t="str">
        <x:v>首发首秀展示数据</x:v>
      </x:c>
      <x:c r="D11" s="24" t="str">
        <x:v>展区、企业、新品/项目、亮点、时间、图片和状态</x:v>
      </x:c>
      <x:c r="E11" s="24" t="str">
        <x:v>普通用户、展商</x:v>
      </x:c>
      <x:c r="F11" s="24" t="str">
        <x:v>V05,E04</x:v>
      </x:c>
      <x:c r="G11" s="24" t="str">
        <x:v>Excel/CSV + 图片</x:v>
      </x:c>
      <x:c r="H11" s="33" t="str">
        <x:v>P1</x:v>
      </x:c>
      <x:c r="I11" s="33" t="str">
        <x:v>待客户补充</x:v>
      </x:c>
      <x:c r="J11" s="24" t="str">
        <x:v>实测主要为企业名单。</x:v>
      </x:c>
    </x:row>
    <x:row r="12" ht="69" customHeight="1">
      <x:c r="A12" s="30" t="str">
        <x:v>G008</x:v>
      </x:c>
      <x:c r="B12" s="30" t="str">
        <x:v>规则</x:v>
      </x:c>
      <x:c r="C12" s="27" t="str">
        <x:v>首发首秀申报</x:v>
      </x:c>
      <x:c r="D12" s="24" t="str">
        <x:v>申报入口、条件、材料、截止时间、进度与成功/失败反馈</x:v>
      </x:c>
      <x:c r="E12" s="24" t="str">
        <x:v>展商</x:v>
      </x:c>
      <x:c r="F12" s="24" t="str">
        <x:v>E04</x:v>
      </x:c>
      <x:c r="G12" s="24" t="str">
        <x:v>流程 + 字段表 + 链接</x:v>
      </x:c>
      <x:c r="H12" s="33" t="str">
        <x:v>P0</x:v>
      </x:c>
      <x:c r="I12" s="33" t="str">
        <x:v>待客户补充</x:v>
      </x:c>
      <x:c r="J12" s="24" t="str">
        <x:v>不得用展示内容替代申报。</x:v>
      </x:c>
    </x:row>
    <x:row r="13" ht="69" customHeight="1">
      <x:c r="A13" s="30" t="str">
        <x:v>G009</x:v>
      </x:c>
      <x:c r="B13" s="30" t="str">
        <x:v>数据</x:v>
      </x:c>
      <x:c r="C13" s="27" t="str">
        <x:v>导航与服务设施数据</x:v>
      </x:c>
      <x:c r="D13" s="24" t="str">
        <x:v>展区/展位/服务台/停车场/洗手间坐标、时间和路线</x:v>
      </x:c>
      <x:c r="E13" s="24" t="str">
        <x:v>普通用户、展商、客商</x:v>
      </x:c>
      <x:c r="F13" s="24" t="str">
        <x:v>V06,E07,B07</x:v>
      </x:c>
      <x:c r="G13" s="24" t="str">
        <x:v>点位表 + 地图说明</x:v>
      </x:c>
      <x:c r="H13" s="33" t="str">
        <x:v>P0</x:v>
      </x:c>
      <x:c r="I13" s="33" t="str">
        <x:v>待客户补充</x:v>
      </x:c>
      <x:c r="J13" s="24" t="str">
        <x:v>服务台信息未查到。</x:v>
      </x:c>
    </x:row>
    <x:row r="14" ht="69" customHeight="1">
      <x:c r="A14" s="30" t="str">
        <x:v>G010</x:v>
      </x:c>
      <x:c r="B14" s="30" t="str">
        <x:v>文案</x:v>
      </x:c>
      <x:c r="C14" s="27" t="str">
        <x:v>地图回复文案清理</x:v>
      </x:c>
      <x:c r="D14" s="24" t="str">
        <x:v>可对外的地图卡片文案与系统提示词边界</x:v>
      </x:c>
      <x:c r="E14" s="24" t="str">
        <x:v>普通用户、展商、客商</x:v>
      </x:c>
      <x:c r="F14" s="24" t="str">
        <x:v>V06,E07,B07</x:v>
      </x:c>
      <x:c r="G14" s="24" t="str">
        <x:v>对外回复模板 + 负面清单</x:v>
      </x:c>
      <x:c r="H14" s="33" t="str">
        <x:v>P0</x:v>
      </x:c>
      <x:c r="I14" s="33" t="str">
        <x:v>待客户补充</x:v>
      </x:c>
      <x:c r="J14" s="24" t="str">
        <x:v>回复包含内部式指令文案风险。</x:v>
      </x:c>
    </x:row>
    <x:row r="15" ht="69" customHeight="1">
      <x:c r="A15" s="30" t="str">
        <x:v>G011</x:v>
      </x:c>
      <x:c r="B15" s="30" t="str">
        <x:v>规则</x:v>
      </x:c>
      <x:c r="C15" s="27" t="str">
        <x:v>路线按钮行为</x:v>
      </x:c>
      <x:c r="D15" s="24" t="str">
        <x:v>目标地图、跳转方式、定位授权、成功与失败反馈</x:v>
      </x:c>
      <x:c r="E15" s="24" t="str">
        <x:v>普通用户、展商、客商</x:v>
      </x:c>
      <x:c r="F15" s="24" t="str">
        <x:v>V06,E07,B07</x:v>
      </x:c>
      <x:c r="G15" s="24" t="str">
        <x:v>交互说明 + 地图链接</x:v>
      </x:c>
      <x:c r="H15" s="33" t="str">
        <x:v>P0</x:v>
      </x:c>
      <x:c r="I15" s="33" t="str">
        <x:v>待客户补充</x:v>
      </x:c>
      <x:c r="J15" s="24" t="str">
        <x:v>实测点击后无可见反馈。</x:v>
      </x:c>
    </x:row>
    <x:row r="16" ht="69" customHeight="1">
      <x:c r="A16" s="30" t="str">
        <x:v>G012</x:v>
      </x:c>
      <x:c r="B16" s="30" t="str">
        <x:v>规则</x:v>
      </x:c>
      <x:c r="C16" s="27" t="str">
        <x:v>打卡活动</x:v>
      </x:c>
      <x:c r="D16" s="24" t="str">
        <x:v>玩法、打卡点、任务、奖品、次数、条件、风控和反馈</x:v>
      </x:c>
      <x:c r="E16" s="24" t="str">
        <x:v>普通用户</x:v>
      </x:c>
      <x:c r="F16" s="24" t="str">
        <x:v>V07</x:v>
      </x:c>
      <x:c r="G16" s="24" t="str">
        <x:v>规则 + 原型/截图</x:v>
      </x:c>
      <x:c r="H16" s="33" t="str">
        <x:v>P1</x:v>
      </x:c>
      <x:c r="I16" s="33" t="str">
        <x:v>待客户补充</x:v>
      </x:c>
      <x:c r="J16" s="24" t="str">
        <x:v>无对应展示物料。</x:v>
      </x:c>
    </x:row>
    <x:row r="17" ht="69" customHeight="1">
      <x:c r="A17" s="30" t="str">
        <x:v>G013</x:v>
      </x:c>
      <x:c r="B17" s="30" t="str">
        <x:v>数据</x:v>
      </x:c>
      <x:c r="C17" s="27" t="str">
        <x:v>订餐正式数据</x:v>
      </x:c>
      <x:c r="D17" s="24" t="str">
        <x:v>餐厅名称、位置、菜系、营业时间、预订方式和联系方式</x:v>
      </x:c>
      <x:c r="E17" s="24" t="str">
        <x:v>普通用户、客商、媒体</x:v>
      </x:c>
      <x:c r="F17" s="24" t="str">
        <x:v>V08,B08,M06</x:v>
      </x:c>
      <x:c r="G17" s="24" t="str">
        <x:v>Excel/CSV + 预订链接</x:v>
      </x:c>
      <x:c r="H17" s="33" t="str">
        <x:v>P1</x:v>
      </x:c>
      <x:c r="I17" s="33" t="str">
        <x:v>待客户补充</x:v>
      </x:c>
      <x:c r="J17" s="24" t="str">
        <x:v>5 家店铺仅作实测样例。</x:v>
      </x:c>
    </x:row>
    <x:row r="18" ht="69" customHeight="1">
      <x:c r="A18" s="30" t="str">
        <x:v>G014</x:v>
      </x:c>
      <x:c r="B18" s="30" t="str">
        <x:v>权限</x:v>
      </x:c>
      <x:c r="C18" s="27" t="str">
        <x:v>四角色权益</x:v>
      </x:c>
      <x:c r="D18" s="24" t="str">
        <x:v>分角色权益、资格、领取条件、有效期、使用入口和状态</x:v>
      </x:c>
      <x:c r="E18" s="24" t="str">
        <x:v>四角色</x:v>
      </x:c>
      <x:c r="F18" s="24" t="str">
        <x:v>V09,E06,B06,M07</x:v>
      </x:c>
      <x:c r="G18" s="24" t="str">
        <x:v>分角色权益表 + 链接</x:v>
      </x:c>
      <x:c r="H18" s="33" t="str">
        <x:v>P0</x:v>
      </x:c>
      <x:c r="I18" s="33" t="str">
        <x:v>待客户补充</x:v>
      </x:c>
      <x:c r="J18" s="24" t="str">
        <x:v>客商和媒体权益待客户确认。</x:v>
      </x:c>
    </x:row>
    <x:row r="19" ht="69" customHeight="1">
      <x:c r="A19" s="30" t="str">
        <x:v>G015</x:v>
      </x:c>
      <x:c r="B19" s="30" t="str">
        <x:v>地址</x:v>
      </x:c>
      <x:c r="C19" s="27" t="str">
        <x:v>一键亮码</x:v>
      </x:c>
      <x:c r="D19" s="24" t="str">
        <x:v>亮码页地址、码类型、刷新、过期、无码与网络失败反馈</x:v>
      </x:c>
      <x:c r="E19" s="24" t="str">
        <x:v>普通用户、展商、客商</x:v>
      </x:c>
      <x:c r="F19" s="24" t="str">
        <x:v>V10,E10,B09</x:v>
      </x:c>
      <x:c r="G19" s="24" t="str">
        <x:v>链接 + 状态说明</x:v>
      </x:c>
      <x:c r="H19" s="33" t="str">
        <x:v>P0</x:v>
      </x:c>
      <x:c r="I19" s="33" t="str">
        <x:v>待客户补充</x:v>
      </x:c>
      <x:c r="J19" s="24" t="str">
        <x:v>现网地址未配置。</x:v>
      </x:c>
    </x:row>
    <x:row r="20" ht="69" customHeight="1">
      <x:c r="A20" s="30" t="str">
        <x:v>G016</x:v>
      </x:c>
      <x:c r="B20" s="30" t="str">
        <x:v>权限</x:v>
      </x:c>
      <x:c r="C20" s="27" t="str">
        <x:v>供采大厅地址与权限</x:v>
      </x:c>
      <x:c r="D20" s="24" t="str">
        <x:v>正式地址、展商/客商查看与发布权限、登录依赖与失败处理</x:v>
      </x:c>
      <x:c r="E20" s="24" t="str">
        <x:v>展商、客商</x:v>
      </x:c>
      <x:c r="F20" s="24" t="str">
        <x:v>E02,B01</x:v>
      </x:c>
      <x:c r="G20" s="24" t="str">
        <x:v>链接 + 权限矩阵</x:v>
      </x:c>
      <x:c r="H20" s="33" t="str">
        <x:v>P0</x:v>
      </x:c>
      <x:c r="I20" s="33" t="str">
        <x:v>待客户补充</x:v>
      </x:c>
      <x:c r="J20" s="24" t="str">
        <x:v>同时需修复现网链接尾部标点。</x:v>
      </x:c>
    </x:row>
    <x:row r="21" ht="69" customHeight="1">
      <x:c r="A21" s="30" t="str">
        <x:v>G017</x:v>
      </x:c>
      <x:c r="B21" s="30" t="str">
        <x:v>数据</x:v>
      </x:c>
      <x:c r="C21" s="27" t="str">
        <x:v>商机匹配</x:v>
      </x:c>
      <x:c r="D21" s="24" t="str">
        <x:v>买家/合作方数据、匹配字段、排序、关键词和换一批</x:v>
      </x:c>
      <x:c r="E21" s="24" t="str">
        <x:v>展商</x:v>
      </x:c>
      <x:c r="F21" s="24" t="str">
        <x:v>E03</x:v>
      </x:c>
      <x:c r="G21" s="24" t="str">
        <x:v>Excel/CSV + 规则 + 卡片</x:v>
      </x:c>
      <x:c r="H21" s="33" t="str">
        <x:v>P1</x:v>
      </x:c>
      <x:c r="I21" s="33" t="str">
        <x:v>待客户补充</x:v>
      </x:c>
      <x:c r="J21" s="24" t="str">
        <x:v>无对应展示物料。</x:v>
      </x:c>
    </x:row>
    <x:row r="22" ht="69" customHeight="1">
      <x:c r="A22" s="30" t="str">
        <x:v>G018</x:v>
      </x:c>
      <x:c r="B22" s="30" t="str">
        <x:v>规则</x:v>
      </x:c>
      <x:c r="C22" s="27" t="str">
        <x:v>DT奖本届信息</x:v>
      </x:c>
      <x:c r="D22" s="24" t="str">
        <x:v>奖项、评选维度、时间、申报材料、入口、进度和结果</x:v>
      </x:c>
      <x:c r="E22" s="24" t="str">
        <x:v>展商</x:v>
      </x:c>
      <x:c r="F22" s="24" t="str">
        <x:v>E05</x:v>
      </x:c>
      <x:c r="G22" s="24" t="str">
        <x:v>规则 + 申报链接</x:v>
      </x:c>
      <x:c r="H22" s="33" t="str">
        <x:v>P0</x:v>
      </x:c>
      <x:c r="I22" s="33" t="str">
        <x:v>待客户补充</x:v>
      </x:c>
      <x:c r="J22" s="24" t="str">
        <x:v>实测主要是往届介绍。</x:v>
      </x:c>
    </x:row>
    <x:row r="23" ht="69" customHeight="1">
      <x:c r="A23" s="30" t="str">
        <x:v>G019</x:v>
      </x:c>
      <x:c r="B23" s="30" t="str">
        <x:v>表单</x:v>
      </x:c>
      <x:c r="C23" s="27" t="str">
        <x:v>传播投手第二步</x:v>
      </x:c>
      <x:c r="D23" s="24" t="str">
        <x:v>第二步字段、选项、必填、回退保留、提交、成功/失败与进度</x:v>
      </x:c>
      <x:c r="E23" s="24" t="str">
        <x:v>展商</x:v>
      </x:c>
      <x:c r="F23" s="24" t="str">
        <x:v>E09</x:v>
      </x:c>
      <x:c r="G23" s="24" t="str">
        <x:v>字段表 + 流程 + 截图</x:v>
      </x:c>
      <x:c r="H23" s="33" t="str">
        <x:v>P0</x:v>
      </x:c>
      <x:c r="I23" s="33" t="str">
        <x:v>待客户补充</x:v>
      </x:c>
      <x:c r="J23" s="24" t="str">
        <x:v>已验证第一步和空值校验，未提交。</x:v>
      </x:c>
    </x:row>
    <x:row r="24" ht="69" customHeight="1">
      <x:c r="A24" s="30" t="str">
        <x:v>G020</x:v>
      </x:c>
      <x:c r="B24" s="30" t="str">
        <x:v>数据</x:v>
      </x:c>
      <x:c r="C24" s="27" t="str">
        <x:v>智能选品</x:v>
      </x:c>
      <x:c r="D24" s="24" t="str">
        <x:v>采购偏好字段、展商/展品数据、排序、换一批和空状态</x:v>
      </x:c>
      <x:c r="E24" s="24" t="str">
        <x:v>客商</x:v>
      </x:c>
      <x:c r="F24" s="24" t="str">
        <x:v>B02</x:v>
      </x:c>
      <x:c r="G24" s="24" t="str">
        <x:v>字段表 + Excel/CSV + 卡片</x:v>
      </x:c>
      <x:c r="H24" s="33" t="str">
        <x:v>P1</x:v>
      </x:c>
      <x:c r="I24" s="33" t="str">
        <x:v>待客户补充</x:v>
      </x:c>
      <x:c r="J24" s="24" t="str">
        <x:v>客商页未实测。</x:v>
      </x:c>
    </x:row>
    <x:row r="25" ht="69" customHeight="1">
      <x:c r="A25" s="30" t="str">
        <x:v>G021</x:v>
      </x:c>
      <x:c r="B25" s="30" t="str">
        <x:v>数据</x:v>
      </x:c>
      <x:c r="C25" s="27" t="str">
        <x:v>展商搜索</x:v>
      </x:c>
      <x:c r="D25" s="24" t="str">
        <x:v>可搜字段、展商库、搜索建议、结果/详情卡片和空状态</x:v>
      </x:c>
      <x:c r="E25" s="24" t="str">
        <x:v>客商</x:v>
      </x:c>
      <x:c r="F25" s="24" t="str">
        <x:v>B03</x:v>
      </x:c>
      <x:c r="G25" s="24" t="str">
        <x:v>字段表 + Excel/CSV + 截图</x:v>
      </x:c>
      <x:c r="H25" s="33" t="str">
        <x:v>P1</x:v>
      </x:c>
      <x:c r="I25" s="33" t="str">
        <x:v>待客户补充</x:v>
      </x:c>
      <x:c r="J25" s="24" t="str">
        <x:v>客商页未实测。</x:v>
      </x:c>
    </x:row>
    <x:row r="26" ht="69" customHeight="1">
      <x:c r="A26" s="30" t="str">
        <x:v>G022</x:v>
      </x:c>
      <x:c r="B26" s="30" t="str">
        <x:v>数据</x:v>
      </x:c>
      <x:c r="C26" s="27" t="str">
        <x:v>产业对接数据与报名</x:v>
      </x:c>
      <x:c r="D26" s="24" t="str">
        <x:v>分展商/客商的活动、匹配标签、时间、地点、报名和换一批</x:v>
      </x:c>
      <x:c r="E26" s="24" t="str">
        <x:v>展商、客商</x:v>
      </x:c>
      <x:c r="F26" s="24" t="str">
        <x:v>E01,B04</x:v>
      </x:c>
      <x:c r="G26" s="24" t="str">
        <x:v>Excel/CSV + 报名链接</x:v>
      </x:c>
      <x:c r="H26" s="33" t="str">
        <x:v>P1</x:v>
      </x:c>
      <x:c r="I26" s="33" t="str">
        <x:v>待客户补充</x:v>
      </x:c>
      <x:c r="J26" s="24" t="str">
        <x:v>现有仅为活动摘要。</x:v>
      </x:c>
    </x:row>
    <x:row r="27" ht="69" customHeight="1">
      <x:c r="A27" s="30" t="str">
        <x:v>G023</x:v>
      </x:c>
      <x:c r="B27" s="30" t="str">
        <x:v>表单</x:v>
      </x:c>
      <x:c r="C27" s="27" t="str">
        <x:v>展会回访问卷</x:v>
      </x:c>
      <x:c r="D27" s="24" t="str">
        <x:v>题目、选项、必填、匿名规则、提交限制、成功反馈和隐私说明</x:v>
      </x:c>
      <x:c r="E27" s="24" t="str">
        <x:v>客商</x:v>
      </x:c>
      <x:c r="F27" s="24" t="str">
        <x:v>B05</x:v>
      </x:c>
      <x:c r="G27" s="24" t="str">
        <x:v>问卷 + 链接 + 规则</x:v>
      </x:c>
      <x:c r="H27" s="33" t="str">
        <x:v>P1</x:v>
      </x:c>
      <x:c r="I27" s="33" t="str">
        <x:v>待客户补充</x:v>
      </x:c>
      <x:c r="J27" s="24" t="str">
        <x:v>客商页未实测。</x:v>
      </x:c>
    </x:row>
    <x:row r="28" ht="69" customHeight="1">
      <x:c r="A28" s="30" t="str">
        <x:v>G024</x:v>
      </x:c>
      <x:c r="B28" s="30" t="str">
        <x:v>地址</x:v>
      </x:c>
      <x:c r="C28" s="27" t="str">
        <x:v>公共素材库修复</x:v>
      </x:c>
      <x:c r="D28" s="24" t="str">
        <x:v>可公开的正式地址、鉴权方式、权限、过期和错误状态</x:v>
      </x:c>
      <x:c r="E28" s="24" t="str">
        <x:v>媒体</x:v>
      </x:c>
      <x:c r="F28" s="24" t="str">
        <x:v>M01,M03</x:v>
      </x:c>
      <x:c r="G28" s="24" t="str">
        <x:v>正式链接 + 鉴权说明</x:v>
      </x:c>
      <x:c r="H28" s="33" t="str">
        <x:v>P0</x:v>
      </x:c>
      <x:c r="I28" s="33" t="str">
        <x:v>待客户补充</x:v>
      </x:c>
      <x:c r="J28" s="24" t="str">
        <x:v>测试地址返回 500；鉴权值已完全脱敏。</x:v>
      </x:c>
    </x:row>
    <x:row r="29" ht="69" customHeight="1">
      <x:c r="A29" s="30" t="str">
        <x:v>G025</x:v>
      </x:c>
      <x:c r="B29" s="30" t="str">
        <x:v>素材</x:v>
      </x:c>
      <x:c r="C29" s="27" t="str">
        <x:v>媒体手册</x:v>
      </x:c>
      <x:c r="D29" s="24" t="str">
        <x:v>官方图片、视频、新闻稿、标识素材、版本、预览和下载权限</x:v>
      </x:c>
      <x:c r="E29" s="24" t="str">
        <x:v>媒体</x:v>
      </x:c>
      <x:c r="F29" s="24" t="str">
        <x:v>M01</x:v>
      </x:c>
      <x:c r="G29" s="24" t="str">
        <x:v>素材目录 + 正式文件/链接</x:v>
      </x:c>
      <x:c r="H29" s="33" t="str">
        <x:v>P1</x:v>
      </x:c>
      <x:c r="I29" s="33" t="str">
        <x:v>待客户补充</x:v>
      </x:c>
      <x:c r="J29" s="24" t="str">
        <x:v>需与现场素材明确分工。</x:v>
      </x:c>
    </x:row>
    <x:row r="30" ht="69" customHeight="1">
      <x:c r="A30" s="30" t="str">
        <x:v>G026</x:v>
      </x:c>
      <x:c r="B30" s="30" t="str">
        <x:v>素材</x:v>
      </x:c>
      <x:c r="C30" s="27" t="str">
        <x:v>现场素材</x:v>
      </x:c>
      <x:c r="D30" s="24" t="str">
        <x:v>现场图片/视频库、时间、地点、作者、授权、标签和下载权限</x:v>
      </x:c>
      <x:c r="E30" s="24" t="str">
        <x:v>媒体</x:v>
      </x:c>
      <x:c r="F30" s="24" t="str">
        <x:v>M03</x:v>
      </x:c>
      <x:c r="G30" s="24" t="str">
        <x:v>素材目录 + 字段表 + 链接</x:v>
      </x:c>
      <x:c r="H30" s="33" t="str">
        <x:v>P1</x:v>
      </x:c>
      <x:c r="I30" s="33" t="str">
        <x:v>待客户补充</x:v>
      </x:c>
      <x:c r="J30" s="24" t="str">
        <x:v>媒体页未实测。</x:v>
      </x:c>
    </x:row>
    <x:row r="31" ht="69" customHeight="1">
      <x:c r="A31" s="30" t="str">
        <x:v>G027</x:v>
      </x:c>
      <x:c r="B31" s="30" t="str">
        <x:v>数据</x:v>
      </x:c>
      <x:c r="C31" s="27" t="str">
        <x:v>传播热点</x:v>
      </x:c>
      <x:c r="D31" s="24" t="str">
        <x:v>热点来源、统计口径、更新频率、排序、标签、详情和失效规则</x:v>
      </x:c>
      <x:c r="E31" s="24" t="str">
        <x:v>媒体</x:v>
      </x:c>
      <x:c r="F31" s="24" t="str">
        <x:v>M05</x:v>
      </x:c>
      <x:c r="G31" s="24" t="str">
        <x:v>口径文档 + 样例数据</x:v>
      </x:c>
      <x:c r="H31" s="33" t="str">
        <x:v>P1</x:v>
      </x:c>
      <x:c r="I31" s="33" t="str">
        <x:v>待客户补充</x:v>
      </x:c>
      <x:c r="J31" s="24" t="str">
        <x:v>媒体页未实测。</x:v>
      </x:c>
    </x:row>
    <x:row r="32" ht="69" customHeight="1">
      <x:c r="A32" s="30" t="str">
        <x:v>G028</x:v>
      </x:c>
      <x:c r="B32" s="30" t="str">
        <x:v>地址</x:v>
      </x:c>
      <x:c r="C32" s="27" t="str">
        <x:v>活动跳转入口</x:v>
      </x:c>
      <x:c r="D32" s="24" t="str">
        <x:v>业务含义、目标页、适用角色、展示名称和失败反馈</x:v>
      </x:c>
      <x:c r="E32" s="24" t="str">
        <x:v>待确认</x:v>
      </x:c>
      <x:c r="F32" s="24" t="str">
        <x:v>—（非目标矩阵入口）</x:v>
      </x:c>
      <x:c r="G32" s="24" t="str">
        <x:v>业务说明 + 链接</x:v>
      </x:c>
      <x:c r="H32" s="33" t="str">
        <x:v>P1</x:v>
      </x:c>
      <x:c r="I32" s="33" t="str">
        <x:v>待客户补充</x:v>
      </x:c>
      <x:c r="J32" s="24" t="str">
        <x:v>现网无有效内容。</x:v>
      </x:c>
    </x:row>
    <x:row r="33" ht="69" customHeight="1">
      <x:c r="A33" s="30" t="str">
        <x:v>G029</x:v>
      </x:c>
      <x:c r="B33" s="30" t="str">
        <x:v>地址</x:v>
      </x:c>
      <x:c r="C33" s="27" t="str">
        <x:v>数贸在线链接修复</x:v>
      </x:c>
      <x:c r="D33" s="24" t="str">
        <x:v>确认正式地址与对外链接文案，移除尾部异常标点</x:v>
      </x:c>
      <x:c r="E33" s="24" t="str">
        <x:v>展商、客商</x:v>
      </x:c>
      <x:c r="F33" s="24" t="str">
        <x:v>E02,B01</x:v>
      </x:c>
      <x:c r="G33" s="24" t="str">
        <x:v>正式链接</x:v>
      </x:c>
      <x:c r="H33" s="33" t="str">
        <x:v>P0</x:v>
      </x:c>
      <x:c r="I33" s="33" t="str">
        <x:v>待客户补充</x:v>
      </x:c>
      <x:c r="J33" s="24" t="str">
        <x:v>未在本清单保存异常完整 URL。</x:v>
      </x:c>
    </x:row>
    <x:row r="34" ht="69" customHeight="1">
      <x:c r="A34" s="31" t="str">
        <x:v>G030</x:v>
      </x:c>
      <x:c r="B34" s="31" t="str">
        <x:v>文案</x:v>
      </x:c>
      <x:c r="C34" s="28" t="str">
        <x:v>多语言与语音物料</x:v>
      </x:c>
      <x:c r="D34" s="25" t="str">
        <x:v>English/日本語/한국어界面与回复语料，语音播报和输入的正式范围</x:v>
      </x:c>
      <x:c r="E34" s="25" t="str">
        <x:v>四角色</x:v>
      </x:c>
      <x:c r="F34" s="25" t="str">
        <x:v>全部入口</x:v>
      </x:c>
      <x:c r="G34" s="25" t="str">
        <x:v>多语言对照表 + 语音说明</x:v>
      </x:c>
      <x:c r="H34" s="34" t="str">
        <x:v>P2</x:v>
      </x:c>
      <x:c r="I34" s="34" t="str">
        <x:v>待客户补充</x:v>
      </x:c>
      <x:c r="J34" s="25" t="str">
        <x:v>原型仅保留选项和本地状态。</x:v>
      </x:c>
    </x:row>
  </x:sheetData>
  <x:mergeCells>
    <x:mergeCell ref="A1:J1"/>
    <x:mergeCell ref="A2:J2"/>
  </x:mergeCells>
  <x:conditionalFormatting sqref="H5:H34">
    <x:cfRule type="containsText" dxfId="9" priority="1" operator="containsText" text="P0"/>
    <x:cfRule type="containsText" dxfId="10" priority="2" operator="containsText" text="P1"/>
    <x:cfRule type="containsText" dxfId="11" priority="3" operator="containsText" text="P2"/>
  </x:conditionalFormatting>
  <x:conditionalFormatting sqref="I5:I34">
    <x:cfRule type="containsText" dxfId="12" priority="4" operator="containsText" text="待客户补充"/>
  </x:conditionalFormatting>
  <x:dataValidations count="3">
    <x:dataValidation type="list" sqref="B5:B34">
      <x:formula1>"地址,数据,规则,文案,权限,表单,素材"</x:formula1>
    </x:dataValidation>
    <x:dataValidation type="list" sqref="H5:H34">
      <x:formula1>"P0,P1,P2"</x:formula1>
    </x:dataValidation>
    <x:dataValidation type="list" sqref="I5:I34">
      <x:formula1>"待客户补充,已补充,无需补充"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17e35acfee4c91"/>
  </x:tableParts>
</x:worksheet>
</file>