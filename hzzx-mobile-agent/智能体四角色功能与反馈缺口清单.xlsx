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f36bdde2d147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5ccfb893fa6643f5"/>
    <x:sheet xmlns:r="http://schemas.openxmlformats.org/officeDocument/2006/relationships" name="角色功能矩阵" sheetId="2" r:id="Rf3c83cc0fcf847bc"/>
    <x:sheet xmlns:r="http://schemas.openxmlformats.org/officeDocument/2006/relationships" name="现网点击反馈" sheetId="3" r:id="R353b94062d944b76"/>
    <x:sheet xmlns:r="http://schemas.openxmlformats.org/officeDocument/2006/relationships" name="待客户补充" sheetId="4" r:id="R3beeb792434148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%"/>
  </x:numFmts>
  <x:fonts count="51">
    <x:font>
      <x:sz val="11"/>
      <x:name val="Carlito"/>
    </x:font>
    <x:font>
      <x:b/>
      <x:sz val="18"/>
      <x:color rgb="FFFFFFFF"/>
      <x:name val="Microsoft YaHei"/>
    </x:font>
    <x:font>
      <x:sz val="10"/>
      <x:color rgb="FF4B5563"/>
      <x:name val="Microsoft YaHei"/>
    </x:font>
    <x:font>
      <x:b/>
      <x:sz val="10"/>
      <x:color rgb="FFFFFFFF"/>
      <x:name val="Microsoft YaHei"/>
    </x:font>
    <x:font>
      <x:sz val="9"/>
      <x:color rgb="FF1F2937"/>
      <x:name val="Microsoft YaHei"/>
    </x:font>
    <x:font>
      <x:b/>
      <x:sz val="9"/>
      <x:color rgb="FF1F2937"/>
      <x:name val="Microsoft YaHei"/>
    </x:font>
    <x:font>
      <x:sz val="9"/>
      <x:color rgb="FF1677FF"/>
      <x:name val="Aptos"/>
    </x:font>
    <x:font>
      <x:sz val="10"/>
      <x:color rgb="FF1F2937"/>
      <x:name val="Microsoft YaHei"/>
    </x:font>
    <x:font>
      <x:b/>
      <x:sz val="10"/>
      <x:color rgb="FF1F2937"/>
      <x:name val="Microsoft YaHei"/>
    </x:font>
    <x:font>
      <x:b/>
      <x:sz val="11"/>
      <x:color rgb="FFFFFFFF"/>
      <x:name val="Microsoft YaHei"/>
    </x:font>
    <x:font>
      <x:b/>
      <x:sz val="12"/>
      <x:color rgb="FF1677FF"/>
      <x:name val="Microsoft YaHei"/>
    </x:font>
    <x:font>
      <x:b/>
      <x:sz val="12"/>
      <x:color rgb="FF16865B"/>
      <x:name val="Microsoft YaHei"/>
    </x:font>
    <x:font>
      <x:b/>
      <x:sz val="12"/>
      <x:color rgb="FF4F46E5"/>
      <x:name val="Microsoft YaHei"/>
    </x:font>
    <x:font>
      <x:b/>
      <x:sz val="12"/>
      <x:color rgb="FFD97706"/>
      <x:name val="Microsoft YaHei"/>
    </x:font>
    <x:font>
      <x:b/>
      <x:sz val="10"/>
      <x:color rgb="FF4B5563"/>
      <x:name val="Microsoft YaHei"/>
    </x:font>
    <x:font>
      <x:sz val="10"/>
      <x:color rgb="FF166534"/>
      <x:name val="Microsoft YaHei"/>
    </x:font>
    <x:font>
      <x:sz val="10"/>
      <x:color rgb="FFB91C1C"/>
      <x:name val="Microsoft YaHei"/>
    </x:font>
    <x:font>
      <x:b/>
      <x:sz val="10"/>
      <x:color rgb="FF4338CA"/>
      <x:name val="Microsoft YaHei"/>
    </x:font>
    <x:font>
      <x:b/>
      <x:sz val="10"/>
      <x:color rgb="FF17365D"/>
      <x:name val="Microsoft YaHei"/>
    </x:font>
    <x:font>
      <x:sz val="10"/>
      <x:color rgb="FF9A6700"/>
      <x:name val="Microsoft YaHei"/>
    </x:font>
    <x:font>
      <x:sz val="10"/>
      <x:color rgb="FF52657A"/>
      <x:name val="Microsoft YaHei"/>
    </x:font>
    <x:font>
      <x:sz val="10"/>
      <x:color rgb="FF166534"/>
      <x:name val="Microsoft YaHei"/>
    </x:font>
    <x:font>
      <x:sz val="10"/>
      <x:color rgb="FFB91C1C"/>
      <x:name val="Microsoft YaHei"/>
    </x:font>
    <x:font>
      <x:sz val="10"/>
      <x:color rgb="FF9A6700"/>
      <x:name val="Microsoft YaHei"/>
    </x:font>
    <x:font>
      <x:sz val="10"/>
      <x:color rgb="FF166534"/>
      <x:name val="Microsoft YaHei"/>
    </x:font>
    <x:font>
      <x:sz val="10"/>
      <x:color rgb="FFB91C1C"/>
      <x:name val="Microsoft YaHei"/>
    </x:font>
    <x:font>
      <x:sz val="10"/>
      <x:color rgb="FF9A6700"/>
      <x:name val="Microsoft YaHei"/>
    </x:font>
    <x:font>
      <x:sz val="10"/>
      <x:color rgb="FF166534"/>
      <x:name val="Microsoft YaHei"/>
    </x:font>
    <x:font>
      <x:sz val="10"/>
      <x:color rgb="FFB91C1C"/>
      <x:name val="Microsoft YaHei"/>
    </x:font>
    <x:font>
      <x:sz val="10"/>
      <x:color rgb="FF9A6700"/>
      <x:name val="Microsoft YaHei"/>
    </x:font>
    <x:font>
      <x:sz val="10"/>
      <x:color rgb="FF166534"/>
      <x:name val="Microsoft YaHei"/>
    </x:font>
    <x:font>
      <x:sz val="10"/>
      <x:color rgb="FFB91C1C"/>
      <x:name val="Microsoft YaHei"/>
    </x:font>
    <x:font>
      <x:sz val="10"/>
      <x:color rgb="FF9A6700"/>
      <x:name val="Microsoft YaHei"/>
    </x:font>
    <x:font>
      <x:sz val="10"/>
      <x:color rgb="FF166534"/>
      <x:name val="Microsoft YaHei"/>
    </x:font>
    <x:font>
      <x:sz val="10"/>
      <x:color rgb="FFB91C1C"/>
      <x:name val="Microsoft YaHei"/>
    </x:font>
    <x:font>
      <x:sz val="10"/>
      <x:color rgb="FF9A6700"/>
      <x:name val="Microsoft YaHei"/>
    </x:font>
    <x:font>
      <x:sz val="10"/>
      <x:color rgb="FF166534"/>
      <x:name val="Microsoft YaHei"/>
    </x:font>
    <x:font>
      <x:sz val="10"/>
      <x:color rgb="FFB91C1C"/>
      <x:name val="Microsoft YaHei"/>
    </x:font>
    <x:font>
      <x:sz val="10"/>
      <x:color rgb="FF9A6700"/>
      <x:name val="Microsoft YaHei"/>
    </x:font>
    <x:font>
      <x:b/>
      <x:sz val="18"/>
      <x:color rgb="FF333333"/>
      <x:name val="Microsoft YaHei"/>
    </x:font>
    <x:font>
      <x:sz val="10"/>
      <x:color rgb="FF333333"/>
      <x:name val="Microsoft YaHei"/>
    </x:font>
    <x:font>
      <x:sz val="11"/>
      <x:color rgb="FF333333"/>
      <x:name val="Microsoft YaHei"/>
    </x:font>
    <x:font>
      <x:b/>
      <x:sz val="10"/>
      <x:color rgb="FF333333"/>
      <x:name val="Microsoft YaHei"/>
    </x:font>
    <x:font>
      <x:b/>
      <x:sz val="11"/>
      <x:color rgb="FF333333"/>
      <x:name val="Microsoft YaHei"/>
    </x:font>
    <x:font>
      <x:b/>
      <x:sz val="12"/>
      <x:color rgb="FF333333"/>
      <x:name val="Microsoft YaHei"/>
    </x:font>
    <x:font>
      <x:sz val="9"/>
      <x:color rgb="FF333333"/>
      <x:name val="Microsoft YaHei"/>
    </x:font>
    <x:font>
      <x:b/>
      <x:sz val="18"/>
      <x:color rgb="FF000000"/>
      <x:name val="Microsoft YaHei"/>
    </x:font>
    <x:font>
      <x:sz val="10"/>
      <x:color rgb="FF666666"/>
      <x:name val="Microsoft YaHei"/>
    </x:font>
    <x:font>
      <x:b/>
      <x:sz val="11"/>
      <x:color rgb="FF000000"/>
      <x:name val="Microsoft YaHei"/>
    </x:font>
    <x:font>
      <x:sz val="9"/>
      <x:color rgb="FF0563C1"/>
      <x:name val="Microsoft YaHei"/>
    </x:font>
    <x:font>
      <x:b/>
      <x:sz val="9"/>
      <x:color rgb="FF333333"/>
      <x:name val="Microsoft YaHei"/>
    </x:font>
  </x:fonts>
  <x:fills count="73">
    <x:fill>
      <x:patternFill patternType="none"/>
    </x:fill>
    <x:fill>
      <x:patternFill patternType="gray125"/>
    </x:fill>
    <x:fill>
      <x:patternFill patternType="solid">
        <x:fgColor rgb="FF173B64"/>
      </x:patternFill>
    </x:fill>
    <x:fill>
      <x:patternFill patternType="solid">
        <x:fgColor rgb="FFE9F0F7"/>
      </x:patternFill>
    </x:fill>
    <x:fill>
      <x:patternFill patternType="solid">
        <x:fgColor rgb="FFEAF4FF"/>
      </x:patternFill>
    </x:fill>
    <x:fill>
      <x:patternFill patternType="solid">
        <x:fgColor rgb="FFE9F7EF"/>
      </x:patternFill>
    </x:fill>
    <x:fill>
      <x:patternFill patternType="solid">
        <x:fgColor rgb="FFEEF0FF"/>
      </x:patternFill>
    </x:fill>
    <x:fill>
      <x:patternFill patternType="solid">
        <x:fgColor rgb="FFFFF4E5"/>
      </x:patternFill>
    </x:fill>
    <x:fill>
      <x:patternFill patternType="solid">
        <x:fgColor rgb="FFF7F9FC"/>
      </x:patternFill>
    </x:fill>
    <x:fill>
      <x:patternFill patternType="solid">
        <x:fgColor rgb="FF245487"/>
      </x:patternFill>
    </x:fill>
    <x:fill>
      <x:patternFill patternType="solid">
        <x:fgColor rgb="FFE8F7EE"/>
      </x:patternFill>
    </x:fill>
    <x:fill>
      <x:patternFill patternType="solid">
        <x:fgColor rgb="FFFFF7E6"/>
      </x:patternFill>
    </x:fill>
    <x:fill>
      <x:patternFill patternType="solid">
        <x:fgColor rgb="FFFFF1F0"/>
      </x:patternFill>
    </x:fill>
    <x:fill>
      <x:patternFill patternType="solid">
        <x:fgColor rgb="FFF3F4F6"/>
      </x:patternFill>
    </x:fill>
    <x:fill>
      <x:patternFill patternType="solid">
        <x:fgColor rgb="FFFBFCFE"/>
      </x:patternFill>
    </x:fill>
    <x:fill>
      <x:patternFill patternType="solid">
        <x:fgColor rgb="FFFFFFFF"/>
      </x:patternFill>
    </x:fill>
    <x:fill>
      <x:patternFill patternType="solid">
        <x:fgColor rgb="FF245487"/>
      </x:patternFill>
    </x:fill>
    <x:fill>
      <x:patternFill patternType="solid">
        <x:fgColor rgb="FFE8F7EE"/>
      </x:patternFill>
    </x:fill>
    <x:fill>
      <x:patternFill patternType="solid">
        <x:fgColor rgb="FFFDECEC"/>
      </x:patternFill>
    </x:fill>
    <x:fill>
      <x:patternFill patternType="solid">
        <x:fgColor rgb="FFEEF2FF"/>
      </x:patternFill>
    </x:fill>
    <x:fill>
      <x:patternFill patternType="solid">
        <x:fgColor rgb="FFEAF2F8"/>
      </x:patternFill>
    </x:fill>
    <x:fill>
      <x:patternFill patternType="solid">
        <x:fgColor rgb="FFFFF7E6"/>
      </x:patternFill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245487"/>
      </x:patternFill>
    </x:fill>
    <x:fill>
      <x:patternFill patternType="solid">
        <x:fgColor rgb="FFE8F7EE"/>
      </x:patternFill>
    </x:fill>
    <x:fill>
      <x:patternFill patternType="solid">
        <x:fgColor rgb="FFFDECEC"/>
      </x:patternFill>
    </x:fill>
    <x:fill>
      <x:patternFill patternType="solid">
        <x:fgColor rgb="FFEEF2FF"/>
      </x:patternFill>
    </x:fill>
    <x:fill>
      <x:patternFill patternType="solid">
        <x:fgColor rgb="FFEAF2F8"/>
      </x:patternFill>
    </x:fill>
    <x:fill>
      <x:patternFill patternType="solid">
        <x:fgColor rgb="FFFFF7E6"/>
      </x:patternFill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245487"/>
      </x:patternFill>
    </x:fill>
    <x:fill>
      <x:patternFill patternType="solid">
        <x:fgColor rgb="FFE8F7EE"/>
      </x:patternFill>
    </x:fill>
    <x:fill>
      <x:patternFill patternType="solid">
        <x:fgColor rgb="FFFDECEC"/>
      </x:patternFill>
    </x:fill>
    <x:fill>
      <x:patternFill patternType="solid">
        <x:fgColor rgb="FFEEF2FF"/>
      </x:patternFill>
    </x:fill>
    <x:fill>
      <x:patternFill patternType="solid">
        <x:fgColor rgb="FFEAF2F8"/>
      </x:patternFill>
    </x:fill>
    <x:fill>
      <x:patternFill patternType="solid">
        <x:fgColor rgb="FFFFF7E6"/>
      </x:patternFill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245487"/>
      </x:patternFill>
    </x:fill>
    <x:fill>
      <x:patternFill patternType="solid">
        <x:fgColor rgb="FFE8F7EE"/>
      </x:patternFill>
    </x:fill>
    <x:fill>
      <x:patternFill patternType="solid">
        <x:fgColor rgb="FFFDECEC"/>
      </x:patternFill>
    </x:fill>
    <x:fill>
      <x:patternFill patternType="solid">
        <x:fgColor rgb="FFEEF2FF"/>
      </x:patternFill>
    </x:fill>
    <x:fill>
      <x:patternFill patternType="solid">
        <x:fgColor rgb="FFEAF2F8"/>
      </x:patternFill>
    </x:fill>
    <x:fill>
      <x:patternFill patternType="solid">
        <x:fgColor rgb="FFFFF7E6"/>
      </x:patternFill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245487"/>
      </x:patternFill>
    </x:fill>
    <x:fill>
      <x:patternFill patternType="solid">
        <x:fgColor rgb="FFE8F7EE"/>
      </x:patternFill>
    </x:fill>
    <x:fill>
      <x:patternFill patternType="solid">
        <x:fgColor rgb="FFFDECEC"/>
      </x:patternFill>
    </x:fill>
    <x:fill>
      <x:patternFill patternType="solid">
        <x:fgColor rgb="FFEEF2FF"/>
      </x:patternFill>
    </x:fill>
    <x:fill>
      <x:patternFill patternType="solid">
        <x:fgColor rgb="FFEAF2F8"/>
      </x:patternFill>
    </x:fill>
    <x:fill>
      <x:patternFill patternType="solid">
        <x:fgColor rgb="FFFFF7E6"/>
      </x:patternFill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245487"/>
      </x:patternFill>
    </x:fill>
    <x:fill>
      <x:patternFill patternType="solid">
        <x:fgColor rgb="FFE8F7EE"/>
      </x:patternFill>
    </x:fill>
    <x:fill>
      <x:patternFill patternType="solid">
        <x:fgColor rgb="FFFDECEC"/>
      </x:patternFill>
    </x:fill>
    <x:fill>
      <x:patternFill patternType="solid">
        <x:fgColor rgb="FFEEF2FF"/>
      </x:patternFill>
    </x:fill>
    <x:fill>
      <x:patternFill patternType="solid">
        <x:fgColor rgb="FFEAF2F8"/>
      </x:patternFill>
    </x:fill>
    <x:fill>
      <x:patternFill patternType="solid">
        <x:fgColor rgb="FFFFF7E6"/>
      </x:patternFill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245487"/>
      </x:patternFill>
    </x:fill>
    <x:fill>
      <x:patternFill patternType="solid">
        <x:fgColor rgb="FFE8F7EE"/>
      </x:patternFill>
    </x:fill>
    <x:fill>
      <x:patternFill patternType="solid">
        <x:fgColor rgb="FFFDECEC"/>
      </x:patternFill>
    </x:fill>
    <x:fill>
      <x:patternFill patternType="solid">
        <x:fgColor rgb="FFEEF2FF"/>
      </x:patternFill>
    </x:fill>
    <x:fill>
      <x:patternFill patternType="solid">
        <x:fgColor rgb="FFEAF2F8"/>
      </x:patternFill>
    </x:fill>
    <x:fill>
      <x:patternFill patternType="solid">
        <x:fgColor rgb="FFFFF7E6"/>
      </x:patternFill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FFFFFF"/>
      </x:patternFill>
    </x:fill>
  </x:fills>
  <x:borders count="75">
    <x:border/>
    <x:border>
      <x:left style="thin">
        <x:color rgb="FFBAC7D5"/>
      </x:left>
      <x:right style="thin">
        <x:color rgb="FFBAC7D5"/>
      </x:right>
      <x:top style="thin">
        <x:color rgb="FFBAC7D5"/>
      </x:top>
      <x:bottom style="thin">
        <x:color rgb="FFBAC7D5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8E3EF"/>
      </x:left>
      <x:right style="thin">
        <x:color rgb="FFD8E3EF"/>
      </x:right>
      <x:top style="thin">
        <x:color rgb="FFD8E3EF"/>
      </x:top>
      <x:bottom style="thin">
        <x:color rgb="FFD8E3EF"/>
      </x:bottom>
    </x:border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none"/>
    </x:border>
    <x:border diagonalUp="0" diagonalDown="0">
      <x:right style="none"/>
    </x:border>
    <x:border diagonalUp="0" diagonalDown="0">
      <x:left style="none"/>
      <x:top style="thin">
        <x:color rgb="FFD1D5DB"/>
      </x:top>
      <x:bottom style="thin">
        <x:color rgb="FFD1D5DB"/>
      </x:bottom>
    </x:border>
    <x:border diagonalUp="0" diagonalDown="0">
      <x:top style="thin">
        <x:color rgb="FFD1D5DB"/>
      </x:top>
      <x:bottom style="thin">
        <x:color rgb="FFD1D5DB"/>
      </x:bottom>
    </x:border>
    <x:border diagonalUp="0" diagonalDown="0">
      <x:right style="none"/>
      <x:top style="thin">
        <x:color rgb="FFD1D5DB"/>
      </x:top>
      <x:bottom style="thin">
        <x:color rgb="FFD1D5DB"/>
      </x:bottom>
    </x:border>
    <x:border diagonalUp="0" diagonalDown="0">
      <x:right style="thin">
        <x:color rgb="FFD1D5DB"/>
      </x:right>
      <x:top style="thin">
        <x:color rgb="FFD1D5DB"/>
      </x:top>
      <x:bottom style="thin">
        <x:color rgb="FFD1D5DB"/>
      </x:bottom>
    </x:border>
    <x:border diagonalUp="0" diagonalDown="0">
      <x:left style="thin">
        <x:color rgb="FFD1D5DB"/>
      </x:left>
      <x:top style="thin">
        <x:color rgb="FFD1D5DB"/>
      </x:top>
      <x:bottom style="thin">
        <x:color rgb="FFD1D5DB"/>
      </x:bottom>
    </x:border>
    <x:border diagonalUp="0" diagonalDown="0">
      <x:left style="none"/>
      <x:right style="thin">
        <x:color rgb="FFE5E7EB"/>
      </x:right>
      <x:top style="thin">
        <x:color rgb="FFE5E7EB"/>
      </x:top>
      <x:bottom style="thin">
        <x:color rgb="FFE5E7EB"/>
      </x:bottom>
    </x:border>
    <x:border diagonalUp="0" diagonalDown="0"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 diagonalUp="0" diagonalDown="0">
      <x:left style="thin">
        <x:color rgb="FFE5E7EB"/>
      </x:left>
      <x:right style="none"/>
      <x:top style="thin">
        <x:color rgb="FFE5E7EB"/>
      </x:top>
      <x:bottom style="thin">
        <x:color rgb="FFE5E7EB"/>
      </x:bottom>
    </x:border>
    <x:border diagonalUp="0" diagonalDown="0">
      <x:left style="none"/>
      <x:right style="thin">
        <x:color rgb="FFBAC7D5"/>
      </x:right>
      <x:top style="thin">
        <x:color rgb="FFBAC7D5"/>
      </x:top>
      <x:bottom style="thin">
        <x:color rgb="FFBAC7D5"/>
      </x:bottom>
    </x:border>
    <x:border diagonalUp="0" diagonalDown="0">
      <x:left style="thin">
        <x:color rgb="FFBAC7D5"/>
      </x:left>
      <x:right style="thin">
        <x:color rgb="FFBAC7D5"/>
      </x:right>
      <x:top style="thin">
        <x:color rgb="FFBAC7D5"/>
      </x:top>
      <x:bottom style="thin">
        <x:color rgb="FFBAC7D5"/>
      </x:bottom>
    </x:border>
    <x:border diagonalUp="0" diagonalDown="0">
      <x:left style="thin">
        <x:color rgb="FFBAC7D5"/>
      </x:left>
      <x:right style="none"/>
      <x:top style="thin">
        <x:color rgb="FFBAC7D5"/>
      </x:top>
      <x:bottom style="thin">
        <x:color rgb="FFBAC7D5"/>
      </x:bottom>
    </x:border>
    <x:border diagonalUp="0" diagonalDown="0">
      <x:left style="none"/>
      <x:bottom style="thin">
        <x:color rgb="FFE5E7EB"/>
      </x:bottom>
    </x:border>
    <x:border diagonalUp="0" diagonalDown="0">
      <x:bottom style="thin">
        <x:color rgb="FFE5E7EB"/>
      </x:bottom>
    </x:border>
    <x:border diagonalUp="0" diagonalDown="0">
      <x:right style="none"/>
      <x:bottom style="thin">
        <x:color rgb="FFE5E7EB"/>
      </x:bottom>
    </x:border>
    <x:border diagonalUp="0" diagonalDown="0">
      <x:left style="none"/>
      <x:right style="thin">
        <x:color rgb="FFE5E7EB"/>
      </x:right>
      <x:top style="thin">
        <x:color rgb="FFE5E7EB"/>
      </x:top>
      <x:bottom style="none"/>
    </x:border>
    <x:border diagonalUp="0" diagonalDown="0">
      <x:left style="thin">
        <x:color rgb="FFE5E7EB"/>
      </x:left>
      <x:right style="thin">
        <x:color rgb="FFE5E7EB"/>
      </x:right>
      <x:top style="thin">
        <x:color rgb="FFE5E7EB"/>
      </x:top>
      <x:bottom style="none"/>
    </x:border>
    <x:border diagonalUp="0" diagonalDown="0">
      <x:left style="thin">
        <x:color rgb="FFE5E7EB"/>
      </x:left>
      <x:right style="none"/>
      <x:top style="thin">
        <x:color rgb="FFE5E7EB"/>
      </x:top>
      <x:bottom style="none"/>
    </x:border>
    <x:border diagonalUp="0" diagonalDown="0">
      <x:left style="none"/>
      <x:bottom style="thin">
        <x:color rgb="FFE5E5E5"/>
      </x:bottom>
    </x:border>
    <x:border diagonalUp="0" diagonalDown="0">
      <x:bottom style="thin">
        <x:color rgb="FFE5E5E5"/>
      </x:bottom>
    </x:border>
    <x:border diagonalUp="0" diagonalDown="0">
      <x:right style="none"/>
      <x:bottom style="thin">
        <x:color rgb="FFE5E5E5"/>
      </x:bottom>
    </x:border>
    <x:border diagonalUp="0" diagonalDown="0">
      <x:left style="none"/>
      <x:top style="thin">
        <x:color rgb="FFD1D5DB"/>
      </x:top>
      <x:bottom style="thin">
        <x:color rgb="FFE5E5E5"/>
      </x:bottom>
    </x:border>
    <x:border diagonalUp="0" diagonalDown="0">
      <x:top style="thin">
        <x:color rgb="FFD1D5DB"/>
      </x:top>
      <x:bottom style="thin">
        <x:color rgb="FFE5E5E5"/>
      </x:bottom>
    </x:border>
    <x:border diagonalUp="0" diagonalDown="0">
      <x:right style="none"/>
      <x:top style="thin">
        <x:color rgb="FFD1D5DB"/>
      </x:top>
      <x:bottom style="thin">
        <x:color rgb="FFE5E5E5"/>
      </x:bottom>
    </x:border>
    <x:border diagonalUp="0" diagonalDown="0">
      <x:left style="none"/>
      <x:bottom style="medium">
        <x:color rgb="FF666666"/>
      </x:bottom>
    </x:border>
    <x:border diagonalUp="0" diagonalDown="0">
      <x:bottom style="medium">
        <x:color rgb="FF666666"/>
      </x:bottom>
    </x:border>
    <x:border diagonalUp="0" diagonalDown="0">
      <x:right style="none"/>
      <x:bottom style="medium">
        <x:color rgb="FF666666"/>
      </x:bottom>
    </x:border>
    <x:border>
      <x:bottom style="medium">
        <x:color rgb="FF666666"/>
      </x:bottom>
    </x:border>
    <x:border diagonalUp="0" diagonalDown="0">
      <x:right style="thin">
        <x:color rgb="FFD1D5DB"/>
      </x:right>
      <x:top style="thin">
        <x:color rgb="FFD1D5DB"/>
      </x:top>
      <x:bottom style="thin">
        <x:color rgb="FFE5E5E5"/>
      </x:bottom>
    </x:border>
    <x:border diagonalUp="0" diagonalDown="0">
      <x:left style="thin">
        <x:color rgb="FFD1D5DB"/>
      </x:left>
      <x:top style="thin">
        <x:color rgb="FFD1D5DB"/>
      </x:top>
      <x:bottom style="thin">
        <x:color rgb="FFE5E5E5"/>
      </x:bottom>
    </x:border>
    <x:border diagonalUp="0" diagonalDown="0">
      <x:left style="none"/>
      <x:right style="thin">
        <x:color rgb="FFE5E7EB"/>
      </x:right>
      <x:top style="thin">
        <x:color rgb="FFE5E7EB"/>
      </x:top>
      <x:bottom style="thin">
        <x:color rgb="FFE5E5E5"/>
      </x:bottom>
    </x:border>
    <x:border diagonalUp="0" diagonalDown="0"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5E5"/>
      </x:bottom>
    </x:border>
    <x:border diagonalUp="0" diagonalDown="0">
      <x:left style="none"/>
      <x:right style="thin">
        <x:color rgb="FFE5E7EB"/>
      </x:right>
      <x:top style="thin">
        <x:color rgb="FFE5E5E5"/>
      </x:top>
      <x:bottom style="thin">
        <x:color rgb="FFE5E5E5"/>
      </x:bottom>
    </x:border>
    <x:border diagonalUp="0" diagonalDown="0">
      <x:left style="thin">
        <x:color rgb="FFE5E7EB"/>
      </x:left>
      <x:right style="thin">
        <x:color rgb="FFE5E7EB"/>
      </x:right>
      <x:top style="thin">
        <x:color rgb="FFE5E5E5"/>
      </x:top>
      <x:bottom style="thin">
        <x:color rgb="FFE5E5E5"/>
      </x:bottom>
    </x:border>
    <x:border diagonalUp="0" diagonalDown="0">
      <x:left style="none"/>
      <x:right style="thin">
        <x:color rgb="FFBAC7D5"/>
      </x:right>
      <x:top style="thin">
        <x:color rgb="FFBAC7D5"/>
      </x:top>
      <x:bottom style="medium">
        <x:color rgb="FF666666"/>
      </x:bottom>
    </x:border>
    <x:border diagonalUp="0" diagonalDown="0">
      <x:left style="thin">
        <x:color rgb="FFBAC7D5"/>
      </x:left>
      <x:right style="thin">
        <x:color rgb="FFBAC7D5"/>
      </x:right>
      <x:top style="thin">
        <x:color rgb="FFBAC7D5"/>
      </x:top>
      <x:bottom style="medium">
        <x:color rgb="FF666666"/>
      </x:bottom>
    </x:border>
    <x:border diagonalUp="0" diagonalDown="0">
      <x:left style="none"/>
      <x:top style="thin">
        <x:color rgb="FFE5E5E5"/>
      </x:top>
      <x:bottom style="thin">
        <x:color rgb="FFE5E5E5"/>
      </x:bottom>
    </x:border>
    <x:border diagonalUp="0" diagonalDown="0">
      <x:top style="thin">
        <x:color rgb="FFE5E5E5"/>
      </x:top>
      <x:bottom style="thin">
        <x:color rgb="FFE5E5E5"/>
      </x:bottom>
    </x:border>
    <x:border diagonalUp="0" diagonalDown="0">
      <x:right style="none"/>
      <x:top style="thin">
        <x:color rgb="FFE5E5E5"/>
      </x:top>
      <x:bottom style="thin">
        <x:color rgb="FFE5E5E5"/>
      </x:bottom>
    </x:border>
    <x:border diagonalUp="0" diagonalDown="0">
      <x:left style="none"/>
      <x:top style="thin">
        <x:color rgb="FFE5E7EB"/>
      </x:top>
      <x:bottom style="thin">
        <x:color rgb="FFE5E7EB"/>
      </x:bottom>
    </x:border>
    <x:border diagonalUp="0" diagonalDown="0">
      <x:top style="thin">
        <x:color rgb="FFE5E7EB"/>
      </x:top>
      <x:bottom style="thin">
        <x:color rgb="FFE5E7EB"/>
      </x:bottom>
    </x:border>
    <x:border diagonalUp="0" diagonalDown="0">
      <x:right style="none"/>
      <x:top style="thin">
        <x:color rgb="FFE5E7EB"/>
      </x:top>
      <x:bottom style="thin">
        <x:color rgb="FFE5E7EB"/>
      </x:bottom>
    </x:border>
    <x:border diagonalUp="0" diagonalDown="0">
      <x:left style="none"/>
      <x:top style="thin">
        <x:color rgb="FFE5E7EB"/>
      </x:top>
      <x:bottom style="none"/>
    </x:border>
    <x:border diagonalUp="0" diagonalDown="0">
      <x:top style="thin">
        <x:color rgb="FFE5E7EB"/>
      </x:top>
      <x:bottom style="none"/>
    </x:border>
    <x:border diagonalUp="0" diagonalDown="0">
      <x:right style="none"/>
      <x:top style="thin">
        <x:color rgb="FFE5E7EB"/>
      </x:top>
      <x:bottom style="none"/>
    </x:border>
    <x:border diagonalUp="0" diagonalDown="0">
      <x:left style="none"/>
      <x:right style="thin">
        <x:color rgb="FFFFFFFF"/>
      </x:right>
      <x:top style="thin">
        <x:color rgb="FFFFFFFF"/>
      </x:top>
      <x:bottom style="thin">
        <x:color rgb="FFFFFFFF"/>
      </x:bottom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 diagonalUp="0" diagonalDown="0">
      <x:left style="thin">
        <x:color rgb="FFFFFFFF"/>
      </x:left>
      <x:right style="none"/>
      <x:top style="thin">
        <x:color rgb="FFFFFFFF"/>
      </x:top>
      <x:bottom style="thin">
        <x:color rgb="FFFFFFFF"/>
      </x:bottom>
    </x:border>
    <x:border diagonalUp="0" diagonalDown="0">
      <x:left style="none"/>
      <x:right style="thin">
        <x:color rgb="FFD8E3EF"/>
      </x:right>
      <x:top style="thin">
        <x:color rgb="FFD8E3EF"/>
      </x:top>
      <x:bottom style="thin">
        <x:color rgb="FFD8E3EF"/>
      </x:bottom>
    </x:border>
    <x:border diagonalUp="0" diagonalDown="0">
      <x:left style="thin">
        <x:color rgb="FFD8E3EF"/>
      </x:left>
      <x:right style="thin">
        <x:color rgb="FFD8E3EF"/>
      </x:right>
      <x:top style="thin">
        <x:color rgb="FFD8E3EF"/>
      </x:top>
      <x:bottom style="thin">
        <x:color rgb="FFD8E3EF"/>
      </x:bottom>
    </x:border>
    <x:border diagonalUp="0" diagonalDown="0">
      <x:left style="thin">
        <x:color rgb="FFD8E3EF"/>
      </x:left>
      <x:right style="none"/>
      <x:top style="thin">
        <x:color rgb="FFD8E3EF"/>
      </x:top>
      <x:bottom style="thin">
        <x:color rgb="FFD8E3EF"/>
      </x:bottom>
    </x:border>
    <x:border diagonalUp="0" diagonalDown="0">
      <x:left style="none"/>
      <x:right style="thin">
        <x:color rgb="FFD8E3EF"/>
      </x:right>
      <x:top style="thin">
        <x:color rgb="FFD8E3EF"/>
      </x:top>
      <x:bottom style="none"/>
    </x:border>
    <x:border diagonalUp="0" diagonalDown="0">
      <x:left style="thin">
        <x:color rgb="FFD8E3EF"/>
      </x:left>
      <x:right style="thin">
        <x:color rgb="FFD8E3EF"/>
      </x:right>
      <x:top style="thin">
        <x:color rgb="FFD8E3EF"/>
      </x:top>
      <x:bottom style="none"/>
    </x:border>
    <x:border diagonalUp="0" diagonalDown="0">
      <x:left style="thin">
        <x:color rgb="FFD8E3EF"/>
      </x:left>
      <x:right style="none"/>
      <x:top style="thin">
        <x:color rgb="FFD8E3EF"/>
      </x:top>
      <x:bottom style="none"/>
    </x:border>
    <x:border diagonalUp="0" diagonalDown="0">
      <x:left style="none"/>
      <x:right style="thin">
        <x:color rgb="FFFFFFFF"/>
      </x:right>
      <x:top style="thin">
        <x:color rgb="FFFFFFFF"/>
      </x:top>
      <x:bottom style="medium">
        <x:color rgb="FF666666"/>
      </x:bottom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medium">
        <x:color rgb="FF666666"/>
      </x:bottom>
    </x:border>
    <x:border diagonalUp="0" diagonalDown="0">
      <x:left style="none"/>
      <x:right style="thin">
        <x:color rgb="FFD8E3EF"/>
      </x:right>
      <x:top style="thin">
        <x:color rgb="FFD8E3EF"/>
      </x:top>
      <x:bottom style="thin">
        <x:color rgb="FFE5E5E5"/>
      </x:bottom>
    </x:border>
    <x:border diagonalUp="0" diagonalDown="0">
      <x:left style="thin">
        <x:color rgb="FFD8E3EF"/>
      </x:left>
      <x:right style="thin">
        <x:color rgb="FFD8E3EF"/>
      </x:right>
      <x:top style="thin">
        <x:color rgb="FFD8E3EF"/>
      </x:top>
      <x:bottom style="thin">
        <x:color rgb="FFE5E5E5"/>
      </x:bottom>
    </x:border>
    <x:border diagonalUp="0" diagonalDown="0">
      <x:left style="none"/>
      <x:right style="thin">
        <x:color rgb="FFD8E3EF"/>
      </x:right>
      <x:top style="thin">
        <x:color rgb="FFE5E5E5"/>
      </x:top>
      <x:bottom style="thin">
        <x:color rgb="FFE5E5E5"/>
      </x:bottom>
    </x:border>
    <x:border diagonalUp="0" diagonalDown="0">
      <x:left style="thin">
        <x:color rgb="FFD8E3EF"/>
      </x:left>
      <x:right style="thin">
        <x:color rgb="FFD8E3EF"/>
      </x:right>
      <x:top style="thin">
        <x:color rgb="FFE5E5E5"/>
      </x:top>
      <x:bottom style="thin">
        <x:color rgb="FFE5E5E5"/>
      </x:bottom>
    </x:border>
  </x:borders>
  <x:cellStyleXfs count="1">
    <x:xf numFmtId="0" fontId="0" fillId="0" borderId="0"/>
  </x:cellStyleXfs>
  <x:cellXfs count="7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horizontal="left" wrapText="1"/>
    </x:xf>
    <x:xf numFmtId="0" fontId="4" fillId="0" borderId="3" xfId="0" applyNumberFormat="1" applyFont="1" applyFill="1" applyBorder="1" applyAlignment="1">
      <x:alignment horizontal="left" wrapText="1"/>
    </x:xf>
    <x:xf numFmtId="0" fontId="4" fillId="0" borderId="4" xfId="0" applyNumberFormat="1" applyFont="1" applyFill="1" applyBorder="1" applyAlignment="1">
      <x:alignment horizontal="left" wrapText="1"/>
    </x:xf>
    <x:xf numFmtId="0" fontId="4" fillId="0" borderId="2" xfId="0" applyNumberFormat="1" applyFont="1" applyFill="1" applyBorder="1" applyAlignment="1">
      <x:alignment horizontal="left" vertical="top" wrapText="1"/>
    </x:xf>
    <x:xf numFmtId="0" fontId="4" fillId="0" borderId="3" xfId="0" applyNumberFormat="1" applyFont="1" applyFill="1" applyBorder="1" applyAlignment="1">
      <x:alignment horizontal="left" vertical="top" wrapText="1"/>
    </x:xf>
    <x:xf numFmtId="0" fontId="4" fillId="0" borderId="4" xfId="0" applyNumberFormat="1" applyFont="1" applyFill="1" applyBorder="1" applyAlignment="1">
      <x:alignment horizontal="left" vertical="top" wrapText="1"/>
    </x:xf>
    <x:xf numFmtId="0" fontId="5" fillId="0" borderId="2" xfId="0" applyNumberFormat="1" applyFont="1" applyFill="1" applyBorder="1" applyAlignment="1">
      <x:alignment horizontal="left" vertical="top" wrapText="1"/>
    </x:xf>
    <x:xf numFmtId="0" fontId="5" fillId="0" borderId="3" xfId="0" applyNumberFormat="1" applyFont="1" applyFill="1" applyBorder="1" applyAlignment="1">
      <x:alignment horizontal="left" vertical="top" wrapText="1"/>
    </x:xf>
    <x:xf numFmtId="0" fontId="5" fillId="0" borderId="4" xfId="0" applyNumberFormat="1" applyFont="1" applyFill="1" applyBorder="1" applyAlignment="1">
      <x:alignment horizontal="left"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0" fontId="5" fillId="0" borderId="3" xfId="0" applyNumberFormat="1" applyFont="1" applyFill="1" applyBorder="1" applyAlignment="1">
      <x:alignment horizontal="center" vertical="top" wrapText="1"/>
    </x:xf>
    <x:xf numFmtId="0" fontId="5" fillId="0" borderId="4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5" fillId="4" borderId="2" xfId="0" applyNumberFormat="1" applyFont="1" applyFill="1" applyBorder="1" applyAlignment="1">
      <x:alignment horizontal="center" vertical="top" wrapText="1"/>
    </x:xf>
    <x:xf numFmtId="0" fontId="5" fillId="4" borderId="3" xfId="0" applyNumberFormat="1" applyFont="1" applyFill="1" applyBorder="1" applyAlignment="1">
      <x:alignment horizontal="center" vertical="top" wrapText="1"/>
    </x:xf>
    <x:xf numFmtId="0" fontId="5" fillId="5" borderId="3" xfId="0" applyNumberFormat="1" applyFont="1" applyFill="1" applyBorder="1" applyAlignment="1">
      <x:alignment horizontal="center" vertical="top" wrapText="1"/>
    </x:xf>
    <x:xf numFmtId="0" fontId="5" fillId="6" borderId="3" xfId="0" applyNumberFormat="1" applyFont="1" applyFill="1" applyBorder="1" applyAlignment="1">
      <x:alignment horizontal="center" vertical="top" wrapText="1"/>
    </x:xf>
    <x:xf numFmtId="0" fontId="5" fillId="7" borderId="3" xfId="0" applyNumberFormat="1" applyFont="1" applyFill="1" applyBorder="1" applyAlignment="1">
      <x:alignment horizontal="center" vertical="top" wrapText="1"/>
    </x:xf>
    <x:xf numFmtId="0" fontId="5" fillId="7" borderId="4" xfId="0" applyNumberFormat="1" applyFont="1" applyFill="1" applyBorder="1" applyAlignment="1">
      <x:alignment horizontal="center" vertical="top" wrapText="1"/>
    </x:xf>
    <x:xf numFmtId="200" fontId="4" fillId="0" borderId="2" xfId="0" applyNumberFormat="1" applyFont="1" applyFill="1" applyBorder="1" applyAlignment="1">
      <x:alignment horizontal="left" vertical="top" wrapText="1"/>
    </x:xf>
    <x:xf numFmtId="200" fontId="4" fillId="0" borderId="3" xfId="0" applyNumberFormat="1" applyFont="1" applyFill="1" applyBorder="1" applyAlignment="1">
      <x:alignment horizontal="left" vertical="top" wrapText="1"/>
    </x:xf>
    <x:xf numFmtId="200" fontId="4" fillId="0" borderId="4" xfId="0" applyNumberFormat="1" applyFont="1" applyFill="1" applyBorder="1" applyAlignment="1">
      <x:alignment horizontal="left" vertical="top" wrapText="1"/>
    </x:xf>
    <x:xf numFmtId="200" fontId="6" fillId="0" borderId="2" xfId="0" applyNumberFormat="1" applyFont="1" applyFill="1" applyBorder="1" applyAlignment="1">
      <x:alignment horizontal="left" vertical="top" wrapText="1"/>
    </x:xf>
    <x:xf numFmtId="200" fontId="6" fillId="0" borderId="3" xfId="0" applyNumberFormat="1" applyFont="1" applyFill="1" applyBorder="1" applyAlignment="1">
      <x:alignment horizontal="left" vertical="top" wrapText="1"/>
    </x:xf>
    <x:xf numFmtId="200" fontId="6" fillId="0" borderId="4" xfId="0" applyNumberFormat="1" applyFont="1" applyFill="1" applyBorder="1" applyAlignment="1">
      <x:alignment horizontal="left" vertical="top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5" xfId="0" applyNumberFormat="1" applyFont="1" applyFill="1" applyBorder="1"/>
    <x:xf numFmtId="0" fontId="7" fillId="8" borderId="6" xfId="0" applyNumberFormat="1" applyFont="1" applyFill="1" applyBorder="1"/>
    <x:xf numFmtId="0" fontId="7" fillId="8" borderId="7" xfId="0" applyNumberFormat="1" applyFont="1" applyFill="1" applyBorder="1"/>
    <x:xf numFmtId="0" fontId="7" fillId="8" borderId="5" xfId="0" applyNumberFormat="1" applyFont="1" applyFill="1" applyBorder="1" applyAlignment="1">
      <x:alignment wrapText="1"/>
    </x:xf>
    <x:xf numFmtId="0" fontId="7" fillId="8" borderId="6" xfId="0" applyNumberFormat="1" applyFont="1" applyFill="1" applyBorder="1" applyAlignment="1">
      <x:alignment wrapText="1"/>
    </x:xf>
    <x:xf numFmtId="0" fontId="7" fillId="8" borderId="7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horizontal="center" wrapText="1"/>
    </x:xf>
    <x:xf numFmtId="0" fontId="7" fillId="8" borderId="6" xfId="0" applyNumberFormat="1" applyFont="1" applyFill="1" applyBorder="1" applyAlignment="1">
      <x:alignment horizontal="center" wrapText="1"/>
    </x:xf>
    <x:xf numFmtId="0" fontId="7" fillId="8" borderId="7" xfId="0" applyNumberFormat="1" applyFont="1" applyFill="1" applyBorder="1" applyAlignment="1">
      <x:alignment horizontal="center" wrapText="1"/>
    </x:xf>
    <x:xf numFmtId="0" fontId="7" fillId="8" borderId="5" xfId="0" applyNumberFormat="1" applyFont="1" applyFill="1" applyBorder="1" applyAlignment="1">
      <x:alignment horizontal="center" vertical="center" wrapText="1"/>
    </x:xf>
    <x:xf numFmtId="0" fontId="7" fillId="8" borderId="6" xfId="0" applyNumberFormat="1" applyFont="1" applyFill="1" applyBorder="1" applyAlignment="1">
      <x:alignment horizontal="center" vertical="center" wrapText="1"/>
    </x:xf>
    <x:xf numFmtId="0" fontId="7" fillId="8" borderId="7" xfId="0" applyNumberFormat="1" applyFont="1" applyFill="1" applyBorder="1" applyAlignment="1">
      <x:alignment horizontal="center" vertical="center" wrapText="1"/>
    </x:xf>
    <x:xf numFmtId="0" fontId="8" fillId="8" borderId="5" xfId="0" applyNumberFormat="1" applyFont="1" applyFill="1" applyBorder="1" applyAlignment="1">
      <x:alignment horizontal="center" vertical="center" wrapText="1"/>
    </x:xf>
    <x:xf numFmtId="0" fontId="8" fillId="8" borderId="6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0" fillId="4" borderId="0" xfId="0" applyNumberFormat="1" applyFont="1" applyFill="1" applyBorder="1"/>
    <x:xf numFmtId="0" fontId="10" fillId="4" borderId="5" xfId="0" applyNumberFormat="1" applyFont="1" applyFill="1" applyBorder="1"/>
    <x:xf numFmtId="0" fontId="10" fillId="4" borderId="7" xfId="0" applyNumberFormat="1" applyFont="1" applyFill="1" applyBorder="1"/>
    <x:xf numFmtId="0" fontId="10" fillId="4" borderId="5" xfId="0" applyNumberFormat="1" applyFont="1" applyFill="1" applyBorder="1" applyAlignment="1">
      <x:alignment horizontal="center"/>
    </x:xf>
    <x:xf numFmtId="0" fontId="10" fillId="4" borderId="7" xfId="0" applyNumberFormat="1" applyFont="1" applyFill="1" applyBorder="1" applyAlignment="1">
      <x:alignment horizontal="center"/>
    </x:xf>
    <x:xf numFmtId="0" fontId="10" fillId="4" borderId="5" xfId="0" applyNumberFormat="1" applyFont="1" applyFill="1" applyBorder="1" applyAlignment="1">
      <x:alignment horizontal="center" vertical="center"/>
    </x:xf>
    <x:xf numFmtId="0" fontId="10" fillId="4" borderId="7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5" xfId="0" applyNumberFormat="1" applyFont="1" applyFill="1" applyBorder="1"/>
    <x:xf numFmtId="0" fontId="11" fillId="5" borderId="7" xfId="0" applyNumberFormat="1" applyFont="1" applyFill="1" applyBorder="1"/>
    <x:xf numFmtId="0" fontId="11" fillId="5" borderId="5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5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2" fillId="6" borderId="0" xfId="0" applyNumberFormat="1" applyFont="1" applyFill="1" applyBorder="1"/>
    <x:xf numFmtId="0" fontId="12" fillId="6" borderId="5" xfId="0" applyNumberFormat="1" applyFont="1" applyFill="1" applyBorder="1"/>
    <x:xf numFmtId="0" fontId="12" fillId="6" borderId="7" xfId="0" applyNumberFormat="1" applyFont="1" applyFill="1" applyBorder="1"/>
    <x:xf numFmtId="0" fontId="12" fillId="6" borderId="5" xfId="0" applyNumberFormat="1" applyFont="1" applyFill="1" applyBorder="1" applyAlignment="1">
      <x:alignment horizontal="center"/>
    </x:xf>
    <x:xf numFmtId="0" fontId="12" fillId="6" borderId="7" xfId="0" applyNumberFormat="1" applyFont="1" applyFill="1" applyBorder="1" applyAlignment="1">
      <x:alignment horizontal="center"/>
    </x:xf>
    <x:xf numFmtId="0" fontId="12" fillId="6" borderId="5" xfId="0" applyNumberFormat="1" applyFont="1" applyFill="1" applyBorder="1" applyAlignment="1">
      <x:alignment horizontal="center" vertical="center"/>
    </x:xf>
    <x:xf numFmtId="0" fontId="12" fillId="6" borderId="7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3" fillId="7" borderId="0" xfId="0" applyNumberFormat="1" applyFont="1" applyFill="1" applyBorder="1"/>
    <x:xf numFmtId="0" fontId="13" fillId="7" borderId="5" xfId="0" applyNumberFormat="1" applyFont="1" applyFill="1" applyBorder="1"/>
    <x:xf numFmtId="0" fontId="13" fillId="7" borderId="7" xfId="0" applyNumberFormat="1" applyFont="1" applyFill="1" applyBorder="1"/>
    <x:xf numFmtId="0" fontId="13" fillId="7" borderId="5" xfId="0" applyNumberFormat="1" applyFont="1" applyFill="1" applyBorder="1" applyAlignment="1">
      <x:alignment horizontal="center"/>
    </x:xf>
    <x:xf numFmtId="0" fontId="13" fillId="7" borderId="7" xfId="0" applyNumberFormat="1" applyFont="1" applyFill="1" applyBorder="1" applyAlignment="1">
      <x:alignment horizontal="center"/>
    </x:xf>
    <x:xf numFmtId="0" fontId="13" fillId="7" borderId="5" xfId="0" applyNumberFormat="1" applyFont="1" applyFill="1" applyBorder="1" applyAlignment="1">
      <x:alignment horizontal="center" vertical="center"/>
    </x:xf>
    <x:xf numFmtId="0" fontId="13" fillId="7" borderId="7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7" fillId="0" borderId="8" xfId="0" applyNumberFormat="1" applyFont="1" applyFill="1" applyBorder="1"/>
    <x:xf numFmtId="201" fontId="7" fillId="0" borderId="8" xfId="0" applyNumberFormat="1" applyFont="1" applyFill="1" applyBorder="1"/>
    <x:xf numFmtId="0" fontId="7" fillId="0" borderId="8" xfId="0" applyNumberFormat="1" applyFont="1" applyFill="1" applyBorder="1" applyAlignment="1">
      <x:alignment wrapText="1"/>
    </x:xf>
    <x:xf numFmtId="201" fontId="7" fillId="0" borderId="8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vertical="center" wrapText="1"/>
    </x:xf>
    <x:xf numFmtId="201" fontId="7" fillId="0" borderId="8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 applyAlignment="1">
      <x:alignment horizontal="center" vertical="center" wrapText="1"/>
    </x:xf>
    <x:xf numFmtId="201" fontId="7" fillId="0" borderId="8" xfId="0" applyNumberFormat="1" applyFont="1" applyFill="1" applyBorder="1" applyAlignment="1">
      <x:alignment horizontal="center" vertical="center" wrapText="1"/>
    </x:xf>
    <x:xf numFmtId="0" fontId="7" fillId="10" borderId="8" xfId="0" applyNumberFormat="1" applyFont="1" applyFill="1" applyBorder="1" applyAlignment="1">
      <x:alignment vertical="center" wrapText="1"/>
    </x:xf>
    <x:xf numFmtId="0" fontId="7" fillId="10" borderId="8" xfId="0" applyNumberFormat="1" applyFont="1" applyFill="1" applyBorder="1" applyAlignment="1">
      <x:alignment horizontal="center" vertical="center" wrapText="1"/>
    </x:xf>
    <x:xf numFmtId="201" fontId="7" fillId="10" borderId="8" xfId="0" applyNumberFormat="1" applyFont="1" applyFill="1" applyBorder="1" applyAlignment="1">
      <x:alignment horizontal="center" vertical="center" wrapText="1"/>
    </x:xf>
    <x:xf numFmtId="0" fontId="7" fillId="11" borderId="8" xfId="0" applyNumberFormat="1" applyFont="1" applyFill="1" applyBorder="1" applyAlignment="1">
      <x:alignment vertical="center" wrapText="1"/>
    </x:xf>
    <x:xf numFmtId="0" fontId="7" fillId="11" borderId="8" xfId="0" applyNumberFormat="1" applyFont="1" applyFill="1" applyBorder="1" applyAlignment="1">
      <x:alignment horizontal="center" vertical="center" wrapText="1"/>
    </x:xf>
    <x:xf numFmtId="201" fontId="7" fillId="11" borderId="8" xfId="0" applyNumberFormat="1" applyFont="1" applyFill="1" applyBorder="1" applyAlignment="1">
      <x:alignment horizontal="center" vertical="center" wrapText="1"/>
    </x:xf>
    <x:xf numFmtId="0" fontId="7" fillId="12" borderId="8" xfId="0" applyNumberFormat="1" applyFont="1" applyFill="1" applyBorder="1" applyAlignment="1">
      <x:alignment vertical="center" wrapText="1"/>
    </x:xf>
    <x:xf numFmtId="0" fontId="7" fillId="12" borderId="8" xfId="0" applyNumberFormat="1" applyFont="1" applyFill="1" applyBorder="1" applyAlignment="1">
      <x:alignment horizontal="center" vertical="center" wrapText="1"/>
    </x:xf>
    <x:xf numFmtId="201" fontId="7" fillId="12" borderId="8" xfId="0" applyNumberFormat="1" applyFont="1" applyFill="1" applyBorder="1" applyAlignment="1">
      <x:alignment horizontal="center" vertical="center" wrapText="1"/>
    </x:xf>
    <x:xf numFmtId="0" fontId="7" fillId="13" borderId="8" xfId="0" applyNumberFormat="1" applyFont="1" applyFill="1" applyBorder="1" applyAlignment="1">
      <x:alignment vertical="center" wrapText="1"/>
    </x:xf>
    <x:xf numFmtId="0" fontId="7" fillId="13" borderId="8" xfId="0" applyNumberFormat="1" applyFont="1" applyFill="1" applyBorder="1" applyAlignment="1">
      <x:alignment horizontal="center" vertical="center" wrapText="1"/>
    </x:xf>
    <x:xf numFmtId="201" fontId="7" fillId="13" borderId="8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7" fillId="14" borderId="0" xfId="0" applyNumberFormat="1" applyFont="1" applyFill="1" applyBorder="1"/>
    <x:xf numFmtId="0" fontId="7" fillId="14" borderId="2" xfId="0" applyNumberFormat="1" applyFont="1" applyFill="1" applyBorder="1"/>
    <x:xf numFmtId="0" fontId="7" fillId="14" borderId="2" xfId="0" applyNumberFormat="1" applyFont="1" applyFill="1" applyBorder="1" applyAlignment="1">
      <x:alignment wrapText="1"/>
    </x:xf>
    <x:xf numFmtId="0" fontId="7" fillId="14" borderId="2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2" xfId="0" applyNumberFormat="1" applyFont="1" applyFill="1" applyBorder="1"/>
    <x:xf numFmtId="0" fontId="7" fillId="15" borderId="2" xfId="0" applyNumberFormat="1" applyFont="1" applyFill="1" applyBorder="1" applyAlignment="1">
      <x:alignment wrapText="1"/>
    </x:xf>
    <x:xf numFmtId="0" fontId="7" fillId="15" borderId="2" xfId="0" applyNumberFormat="1" applyFont="1" applyFill="1" applyBorder="1" applyAlignment="1">
      <x:alignment vertical="center" wrapText="1"/>
    </x:xf>
    <x:xf numFmtId="0" fontId="14" fillId="13" borderId="8" xfId="0" applyNumberFormat="1" applyFont="1" applyFill="1" applyBorder="1" applyAlignment="1">
      <x:alignment vertical="center" wrapText="1"/>
    </x:xf>
    <x:xf numFmtId="0" fontId="14" fillId="13" borderId="8" xfId="0" applyNumberFormat="1" applyFont="1" applyFill="1" applyBorder="1" applyAlignment="1">
      <x:alignment horizontal="center"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9" fillId="16" borderId="0" xfId="0" applyNumberFormat="1" applyFont="1" applyFill="1" applyBorder="1" applyAlignment="1">
      <x:alignment vertical="center"/>
    </x:xf>
    <x:xf numFmtId="0" fontId="7" fillId="17" borderId="8" xfId="0" applyNumberFormat="1" applyFont="1" applyFill="1" applyBorder="1" applyAlignment="1">
      <x:alignment vertical="center" wrapText="1"/>
    </x:xf>
    <x:xf numFmtId="0" fontId="7" fillId="17" borderId="8" xfId="0" applyNumberFormat="1" applyFont="1" applyFill="1" applyBorder="1" applyAlignment="1">
      <x:alignment horizontal="center" vertical="center" wrapText="1"/>
    </x:xf>
    <x:xf numFmtId="201" fontId="7" fillId="17" borderId="8" xfId="0" applyNumberFormat="1" applyFont="1" applyFill="1" applyBorder="1" applyAlignment="1">
      <x:alignment horizontal="center" vertical="center" wrapText="1"/>
    </x:xf>
    <x:xf numFmtId="0" fontId="15" fillId="17" borderId="8" xfId="0" applyNumberFormat="1" applyFont="1" applyFill="1" applyBorder="1" applyAlignment="1">
      <x:alignment vertical="center" wrapText="1"/>
    </x:xf>
    <x:xf numFmtId="0" fontId="15" fillId="17" borderId="8" xfId="0" applyNumberFormat="1" applyFont="1" applyFill="1" applyBorder="1" applyAlignment="1">
      <x:alignment horizontal="center" vertical="center" wrapText="1"/>
    </x:xf>
    <x:xf numFmtId="201" fontId="15" fillId="17" borderId="8" xfId="0" applyNumberFormat="1" applyFont="1" applyFill="1" applyBorder="1" applyAlignment="1">
      <x:alignment horizontal="center" vertical="center" wrapText="1"/>
    </x:xf>
    <x:xf numFmtId="0" fontId="7" fillId="18" borderId="8" xfId="0" applyNumberFormat="1" applyFont="1" applyFill="1" applyBorder="1" applyAlignment="1">
      <x:alignment vertical="center" wrapText="1"/>
    </x:xf>
    <x:xf numFmtId="0" fontId="7" fillId="18" borderId="8" xfId="0" applyNumberFormat="1" applyFont="1" applyFill="1" applyBorder="1" applyAlignment="1">
      <x:alignment horizontal="center" vertical="center" wrapText="1"/>
    </x:xf>
    <x:xf numFmtId="201" fontId="7" fillId="18" borderId="8" xfId="0" applyNumberFormat="1" applyFont="1" applyFill="1" applyBorder="1" applyAlignment="1">
      <x:alignment horizontal="center" vertical="center" wrapText="1"/>
    </x:xf>
    <x:xf numFmtId="0" fontId="16" fillId="18" borderId="8" xfId="0" applyNumberFormat="1" applyFont="1" applyFill="1" applyBorder="1" applyAlignment="1">
      <x:alignment vertical="center" wrapText="1"/>
    </x:xf>
    <x:xf numFmtId="0" fontId="16" fillId="18" borderId="8" xfId="0" applyNumberFormat="1" applyFont="1" applyFill="1" applyBorder="1" applyAlignment="1">
      <x:alignment horizontal="center" vertical="center" wrapText="1"/>
    </x:xf>
    <x:xf numFmtId="201" fontId="16" fillId="18" borderId="8" xfId="0" applyNumberFormat="1" applyFont="1" applyFill="1" applyBorder="1" applyAlignment="1">
      <x:alignment horizontal="center" vertical="center" wrapText="1"/>
    </x:xf>
    <x:xf numFmtId="0" fontId="7" fillId="19" borderId="8" xfId="0" applyNumberFormat="1" applyFont="1" applyFill="1" applyBorder="1" applyAlignment="1">
      <x:alignment vertical="center" wrapText="1"/>
    </x:xf>
    <x:xf numFmtId="0" fontId="7" fillId="19" borderId="8" xfId="0" applyNumberFormat="1" applyFont="1" applyFill="1" applyBorder="1" applyAlignment="1">
      <x:alignment horizontal="center" vertical="center" wrapText="1"/>
    </x:xf>
    <x:xf numFmtId="201" fontId="7" fillId="19" borderId="8" xfId="0" applyNumberFormat="1" applyFont="1" applyFill="1" applyBorder="1" applyAlignment="1">
      <x:alignment horizontal="center" vertical="center" wrapText="1"/>
    </x:xf>
    <x:xf numFmtId="0" fontId="17" fillId="19" borderId="8" xfId="0" applyNumberFormat="1" applyFont="1" applyFill="1" applyBorder="1" applyAlignment="1">
      <x:alignment vertical="center" wrapText="1"/>
    </x:xf>
    <x:xf numFmtId="0" fontId="17" fillId="19" borderId="8" xfId="0" applyNumberFormat="1" applyFont="1" applyFill="1" applyBorder="1" applyAlignment="1">
      <x:alignment horizontal="center" vertical="center" wrapText="1"/>
    </x:xf>
    <x:xf numFmtId="201" fontId="17" fillId="19" borderId="8" xfId="0" applyNumberFormat="1" applyFont="1" applyFill="1" applyBorder="1" applyAlignment="1">
      <x:alignment horizontal="center" vertical="center" wrapText="1"/>
    </x:xf>
    <x:xf numFmtId="0" fontId="7" fillId="20" borderId="8" xfId="0" applyNumberFormat="1" applyFont="1" applyFill="1" applyBorder="1" applyAlignment="1">
      <x:alignment vertical="center" wrapText="1"/>
    </x:xf>
    <x:xf numFmtId="0" fontId="7" fillId="20" borderId="8" xfId="0" applyNumberFormat="1" applyFont="1" applyFill="1" applyBorder="1" applyAlignment="1">
      <x:alignment horizontal="center" vertical="center" wrapText="1"/>
    </x:xf>
    <x:xf numFmtId="201" fontId="7" fillId="20" borderId="8" xfId="0" applyNumberFormat="1" applyFont="1" applyFill="1" applyBorder="1" applyAlignment="1">
      <x:alignment horizontal="center" vertical="center" wrapText="1"/>
    </x:xf>
    <x:xf numFmtId="0" fontId="18" fillId="20" borderId="8" xfId="0" applyNumberFormat="1" applyFont="1" applyFill="1" applyBorder="1" applyAlignment="1">
      <x:alignment vertical="center" wrapText="1"/>
    </x:xf>
    <x:xf numFmtId="0" fontId="18" fillId="20" borderId="8" xfId="0" applyNumberFormat="1" applyFont="1" applyFill="1" applyBorder="1" applyAlignment="1">
      <x:alignment horizontal="center" vertical="center" wrapText="1"/>
    </x:xf>
    <x:xf numFmtId="201" fontId="18" fillId="20" borderId="8" xfId="0" applyNumberFormat="1" applyFont="1" applyFill="1" applyBorder="1" applyAlignment="1">
      <x:alignment horizontal="center" vertical="center" wrapText="1"/>
    </x:xf>
    <x:xf numFmtId="0" fontId="7" fillId="21" borderId="8" xfId="0" applyNumberFormat="1" applyFont="1" applyFill="1" applyBorder="1" applyAlignment="1">
      <x:alignment vertical="center" wrapText="1"/>
    </x:xf>
    <x:xf numFmtId="0" fontId="7" fillId="21" borderId="8" xfId="0" applyNumberFormat="1" applyFont="1" applyFill="1" applyBorder="1" applyAlignment="1">
      <x:alignment horizontal="center" vertical="center" wrapText="1"/>
    </x:xf>
    <x:xf numFmtId="201" fontId="7" fillId="21" borderId="8" xfId="0" applyNumberFormat="1" applyFont="1" applyFill="1" applyBorder="1" applyAlignment="1">
      <x:alignment horizontal="center" vertical="center" wrapText="1"/>
    </x:xf>
    <x:xf numFmtId="0" fontId="19" fillId="21" borderId="8" xfId="0" applyNumberFormat="1" applyFont="1" applyFill="1" applyBorder="1" applyAlignment="1">
      <x:alignment vertical="center" wrapText="1"/>
    </x:xf>
    <x:xf numFmtId="0" fontId="19" fillId="21" borderId="8" xfId="0" applyNumberFormat="1" applyFont="1" applyFill="1" applyBorder="1" applyAlignment="1">
      <x:alignment horizontal="center" vertical="center" wrapText="1"/>
    </x:xf>
    <x:xf numFmtId="201" fontId="19" fillId="21" borderId="8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left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left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left" vertical="center"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horizontal="left"/>
    </x:xf>
    <x:xf numFmtId="0" fontId="1" fillId="22" borderId="0" xfId="0" applyNumberFormat="1" applyFont="1" applyFill="1" applyBorder="1" applyAlignment="1">
      <x:alignment horizontal="left" vertical="center"/>
    </x:xf>
    <x:xf numFmtId="0" fontId="0" fillId="20" borderId="0" xfId="0" applyNumberFormat="1" applyFont="1" applyFill="1" applyBorder="1"/>
    <x:xf numFmtId="0" fontId="20" fillId="20" borderId="0" xfId="0" applyNumberFormat="1" applyFont="1" applyFill="1" applyBorder="1"/>
    <x:xf numFmtId="0" fontId="20" fillId="20" borderId="0" xfId="0" applyNumberFormat="1" applyFont="1" applyFill="1" applyBorder="1" applyAlignment="1">
      <x:alignment wrapText="1"/>
    </x:xf>
    <x:xf numFmtId="0" fontId="20" fillId="20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9" xfId="0" applyNumberFormat="1" applyFont="1" applyFill="1" applyBorder="1"/>
    <x:xf numFmtId="0" fontId="3" fillId="16" borderId="9" xfId="0" applyNumberFormat="1" applyFont="1" applyFill="1" applyBorder="1" applyAlignment="1">
      <x:alignment wrapText="1"/>
    </x:xf>
    <x:xf numFmtId="0" fontId="3" fillId="16" borderId="9" xfId="0" applyNumberFormat="1" applyFont="1" applyFill="1" applyBorder="1" applyAlignment="1">
      <x:alignment horizontal="center" wrapText="1"/>
    </x:xf>
    <x:xf numFmtId="0" fontId="3" fillId="16" borderId="9" xfId="0" applyNumberFormat="1" applyFont="1" applyFill="1" applyBorder="1" applyAlignment="1">
      <x:alignment horizontal="center" vertical="center" wrapText="1"/>
    </x:xf>
    <x:xf numFmtId="0" fontId="7" fillId="0" borderId="10" xfId="0" applyNumberFormat="1" applyFont="1" applyFill="1" applyBorder="1"/>
    <x:xf numFmtId="0" fontId="7" fillId="0" borderId="10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vertical="center" wrapText="1"/>
    </x:xf>
    <x:xf numFmtId="0" fontId="7" fillId="23" borderId="10" xfId="0" applyNumberFormat="1" applyFont="1" applyFill="1" applyBorder="1" applyAlignment="1">
      <x:alignment vertical="center" wrapText="1"/>
    </x:xf>
    <x:xf numFmtId="0" fontId="7" fillId="23" borderId="10" xfId="0" applyNumberFormat="1" applyFont="1" applyFill="1" applyBorder="1" applyAlignment="1">
      <x:alignment horizontal="center" vertical="center" wrapText="1"/>
    </x:xf>
    <x:xf numFmtId="0" fontId="7" fillId="0" borderId="10" xfId="0" applyNumberFormat="1" applyFont="1" applyFill="1" applyBorder="1" applyAlignment="1">
      <x:alignment horizontal="center" vertical="center" wrapText="1"/>
    </x:xf>
    <x:xf numFmtId="201" fontId="15" fillId="10" borderId="8" xfId="0" applyNumberFormat="1" applyFont="1" applyFill="1" applyBorder="1" applyAlignment="1">
      <x:alignment horizontal="center" vertical="center" wrapText="1"/>
    </x:xf>
    <x:xf numFmtId="201" fontId="19" fillId="11" borderId="8" xfId="0" applyNumberFormat="1" applyFont="1" applyFill="1" applyBorder="1" applyAlignment="1">
      <x:alignment horizontal="center" vertical="center" wrapText="1"/>
    </x:xf>
    <x:xf numFmtId="0" fontId="9" fillId="24" borderId="0" xfId="0" applyNumberFormat="1" applyFont="1" applyFill="1" applyBorder="1" applyAlignment="1">
      <x:alignment vertical="center"/>
    </x:xf>
    <x:xf numFmtId="0" fontId="15" fillId="25" borderId="8" xfId="0" applyNumberFormat="1" applyFont="1" applyFill="1" applyBorder="1" applyAlignment="1">
      <x:alignment vertical="center" wrapText="1"/>
    </x:xf>
    <x:xf numFmtId="0" fontId="15" fillId="25" borderId="8" xfId="0" applyNumberFormat="1" applyFont="1" applyFill="1" applyBorder="1" applyAlignment="1">
      <x:alignment horizontal="center" vertical="center" wrapText="1"/>
    </x:xf>
    <x:xf numFmtId="201" fontId="15" fillId="25" borderId="8" xfId="0" applyNumberFormat="1" applyFont="1" applyFill="1" applyBorder="1" applyAlignment="1">
      <x:alignment horizontal="center" vertical="center" wrapText="1"/>
    </x:xf>
    <x:xf numFmtId="0" fontId="21" fillId="25" borderId="8" xfId="0" applyNumberFormat="1" applyFont="1" applyFill="1" applyBorder="1" applyAlignment="1">
      <x:alignment vertical="center" wrapText="1"/>
    </x:xf>
    <x:xf numFmtId="0" fontId="21" fillId="25" borderId="8" xfId="0" applyNumberFormat="1" applyFont="1" applyFill="1" applyBorder="1" applyAlignment="1">
      <x:alignment horizontal="center" vertical="center" wrapText="1"/>
    </x:xf>
    <x:xf numFmtId="201" fontId="21" fillId="25" borderId="8" xfId="0" applyNumberFormat="1" applyFont="1" applyFill="1" applyBorder="1" applyAlignment="1">
      <x:alignment horizontal="center" vertical="center" wrapText="1"/>
    </x:xf>
    <x:xf numFmtId="0" fontId="16" fillId="26" borderId="8" xfId="0" applyNumberFormat="1" applyFont="1" applyFill="1" applyBorder="1" applyAlignment="1">
      <x:alignment vertical="center" wrapText="1"/>
    </x:xf>
    <x:xf numFmtId="0" fontId="16" fillId="26" borderId="8" xfId="0" applyNumberFormat="1" applyFont="1" applyFill="1" applyBorder="1" applyAlignment="1">
      <x:alignment horizontal="center" vertical="center" wrapText="1"/>
    </x:xf>
    <x:xf numFmtId="201" fontId="16" fillId="26" borderId="8" xfId="0" applyNumberFormat="1" applyFont="1" applyFill="1" applyBorder="1" applyAlignment="1">
      <x:alignment horizontal="center" vertical="center" wrapText="1"/>
    </x:xf>
    <x:xf numFmtId="0" fontId="22" fillId="26" borderId="8" xfId="0" applyNumberFormat="1" applyFont="1" applyFill="1" applyBorder="1" applyAlignment="1">
      <x:alignment vertical="center" wrapText="1"/>
    </x:xf>
    <x:xf numFmtId="0" fontId="22" fillId="26" borderId="8" xfId="0" applyNumberFormat="1" applyFont="1" applyFill="1" applyBorder="1" applyAlignment="1">
      <x:alignment horizontal="center" vertical="center" wrapText="1"/>
    </x:xf>
    <x:xf numFmtId="201" fontId="22" fillId="26" borderId="8" xfId="0" applyNumberFormat="1" applyFont="1" applyFill="1" applyBorder="1" applyAlignment="1">
      <x:alignment horizontal="center" vertical="center" wrapText="1"/>
    </x:xf>
    <x:xf numFmtId="0" fontId="17" fillId="27" borderId="8" xfId="0" applyNumberFormat="1" applyFont="1" applyFill="1" applyBorder="1" applyAlignment="1">
      <x:alignment vertical="center" wrapText="1"/>
    </x:xf>
    <x:xf numFmtId="0" fontId="17" fillId="27" borderId="8" xfId="0" applyNumberFormat="1" applyFont="1" applyFill="1" applyBorder="1" applyAlignment="1">
      <x:alignment horizontal="center" vertical="center" wrapText="1"/>
    </x:xf>
    <x:xf numFmtId="201" fontId="17" fillId="27" borderId="8" xfId="0" applyNumberFormat="1" applyFont="1" applyFill="1" applyBorder="1" applyAlignment="1">
      <x:alignment horizontal="center" vertical="center" wrapText="1"/>
    </x:xf>
    <x:xf numFmtId="0" fontId="18" fillId="28" borderId="8" xfId="0" applyNumberFormat="1" applyFont="1" applyFill="1" applyBorder="1" applyAlignment="1">
      <x:alignment vertical="center" wrapText="1"/>
    </x:xf>
    <x:xf numFmtId="0" fontId="18" fillId="28" borderId="8" xfId="0" applyNumberFormat="1" applyFont="1" applyFill="1" applyBorder="1" applyAlignment="1">
      <x:alignment horizontal="center" vertical="center" wrapText="1"/>
    </x:xf>
    <x:xf numFmtId="201" fontId="18" fillId="28" borderId="8" xfId="0" applyNumberFormat="1" applyFont="1" applyFill="1" applyBorder="1" applyAlignment="1">
      <x:alignment horizontal="center" vertical="center" wrapText="1"/>
    </x:xf>
    <x:xf numFmtId="0" fontId="19" fillId="29" borderId="8" xfId="0" applyNumberFormat="1" applyFont="1" applyFill="1" applyBorder="1" applyAlignment="1">
      <x:alignment vertical="center" wrapText="1"/>
    </x:xf>
    <x:xf numFmtId="0" fontId="19" fillId="29" borderId="8" xfId="0" applyNumberFormat="1" applyFont="1" applyFill="1" applyBorder="1" applyAlignment="1">
      <x:alignment horizontal="center" vertical="center" wrapText="1"/>
    </x:xf>
    <x:xf numFmtId="201" fontId="19" fillId="29" borderId="8" xfId="0" applyNumberFormat="1" applyFont="1" applyFill="1" applyBorder="1" applyAlignment="1">
      <x:alignment horizontal="center" vertical="center" wrapText="1"/>
    </x:xf>
    <x:xf numFmtId="0" fontId="23" fillId="29" borderId="8" xfId="0" applyNumberFormat="1" applyFont="1" applyFill="1" applyBorder="1" applyAlignment="1">
      <x:alignment vertical="center" wrapText="1"/>
    </x:xf>
    <x:xf numFmtId="0" fontId="23" fillId="29" borderId="8" xfId="0" applyNumberFormat="1" applyFont="1" applyFill="1" applyBorder="1" applyAlignment="1">
      <x:alignment horizontal="center" vertical="center" wrapText="1"/>
    </x:xf>
    <x:xf numFmtId="201" fontId="23" fillId="29" borderId="8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1" fillId="30" borderId="0" xfId="0" applyNumberFormat="1" applyFont="1" applyFill="1" applyBorder="1"/>
    <x:xf numFmtId="0" fontId="1" fillId="30" borderId="0" xfId="0" applyNumberFormat="1" applyFont="1" applyFill="1" applyBorder="1" applyAlignment="1">
      <x:alignment horizontal="left"/>
    </x:xf>
    <x:xf numFmtId="0" fontId="1" fillId="30" borderId="0" xfId="0" applyNumberFormat="1" applyFont="1" applyFill="1" applyBorder="1" applyAlignment="1">
      <x:alignment horizontal="left" vertical="center"/>
    </x:xf>
    <x:xf numFmtId="0" fontId="0" fillId="28" borderId="0" xfId="0" applyNumberFormat="1" applyFont="1" applyFill="1" applyBorder="1"/>
    <x:xf numFmtId="0" fontId="20" fillId="28" borderId="0" xfId="0" applyNumberFormat="1" applyFont="1" applyFill="1" applyBorder="1"/>
    <x:xf numFmtId="0" fontId="20" fillId="28" borderId="0" xfId="0" applyNumberFormat="1" applyFont="1" applyFill="1" applyBorder="1" applyAlignment="1">
      <x:alignment wrapText="1"/>
    </x:xf>
    <x:xf numFmtId="0" fontId="20" fillId="28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9" xfId="0" applyNumberFormat="1" applyFont="1" applyFill="1" applyBorder="1"/>
    <x:xf numFmtId="0" fontId="3" fillId="24" borderId="9" xfId="0" applyNumberFormat="1" applyFont="1" applyFill="1" applyBorder="1" applyAlignment="1">
      <x:alignment wrapText="1"/>
    </x:xf>
    <x:xf numFmtId="0" fontId="3" fillId="24" borderId="9" xfId="0" applyNumberFormat="1" applyFont="1" applyFill="1" applyBorder="1" applyAlignment="1">
      <x:alignment horizontal="center" wrapText="1"/>
    </x:xf>
    <x:xf numFmtId="0" fontId="3" fillId="24" borderId="9" xfId="0" applyNumberFormat="1" applyFont="1" applyFill="1" applyBorder="1" applyAlignment="1">
      <x:alignment horizontal="center" vertical="center" wrapText="1"/>
    </x:xf>
    <x:xf numFmtId="0" fontId="7" fillId="31" borderId="10" xfId="0" applyNumberFormat="1" applyFont="1" applyFill="1" applyBorder="1" applyAlignment="1">
      <x:alignment vertical="center" wrapText="1"/>
    </x:xf>
    <x:xf numFmtId="0" fontId="7" fillId="31" borderId="10" xfId="0" applyNumberFormat="1" applyFont="1" applyFill="1" applyBorder="1" applyAlignment="1">
      <x:alignment horizontal="center" vertical="center" wrapText="1"/>
    </x:xf>
    <x:xf numFmtId="0" fontId="9" fillId="32" borderId="0" xfId="0" applyNumberFormat="1" applyFont="1" applyFill="1" applyBorder="1" applyAlignment="1">
      <x:alignment vertical="center"/>
    </x:xf>
    <x:xf numFmtId="0" fontId="15" fillId="33" borderId="8" xfId="0" applyNumberFormat="1" applyFont="1" applyFill="1" applyBorder="1" applyAlignment="1">
      <x:alignment vertical="center" wrapText="1"/>
    </x:xf>
    <x:xf numFmtId="0" fontId="15" fillId="33" borderId="8" xfId="0" applyNumberFormat="1" applyFont="1" applyFill="1" applyBorder="1" applyAlignment="1">
      <x:alignment horizontal="center" vertical="center" wrapText="1"/>
    </x:xf>
    <x:xf numFmtId="201" fontId="15" fillId="33" borderId="8" xfId="0" applyNumberFormat="1" applyFont="1" applyFill="1" applyBorder="1" applyAlignment="1">
      <x:alignment horizontal="center" vertical="center" wrapText="1"/>
    </x:xf>
    <x:xf numFmtId="0" fontId="24" fillId="33" borderId="8" xfId="0" applyNumberFormat="1" applyFont="1" applyFill="1" applyBorder="1" applyAlignment="1">
      <x:alignment vertical="center" wrapText="1"/>
    </x:xf>
    <x:xf numFmtId="0" fontId="24" fillId="33" borderId="8" xfId="0" applyNumberFormat="1" applyFont="1" applyFill="1" applyBorder="1" applyAlignment="1">
      <x:alignment horizontal="center" vertical="center" wrapText="1"/>
    </x:xf>
    <x:xf numFmtId="201" fontId="24" fillId="33" borderId="8" xfId="0" applyNumberFormat="1" applyFont="1" applyFill="1" applyBorder="1" applyAlignment="1">
      <x:alignment horizontal="center" vertical="center" wrapText="1"/>
    </x:xf>
    <x:xf numFmtId="0" fontId="16" fillId="34" borderId="8" xfId="0" applyNumberFormat="1" applyFont="1" applyFill="1" applyBorder="1" applyAlignment="1">
      <x:alignment vertical="center" wrapText="1"/>
    </x:xf>
    <x:xf numFmtId="0" fontId="16" fillId="34" borderId="8" xfId="0" applyNumberFormat="1" applyFont="1" applyFill="1" applyBorder="1" applyAlignment="1">
      <x:alignment horizontal="center" vertical="center" wrapText="1"/>
    </x:xf>
    <x:xf numFmtId="201" fontId="16" fillId="34" borderId="8" xfId="0" applyNumberFormat="1" applyFont="1" applyFill="1" applyBorder="1" applyAlignment="1">
      <x:alignment horizontal="center" vertical="center" wrapText="1"/>
    </x:xf>
    <x:xf numFmtId="0" fontId="25" fillId="34" borderId="8" xfId="0" applyNumberFormat="1" applyFont="1" applyFill="1" applyBorder="1" applyAlignment="1">
      <x:alignment vertical="center" wrapText="1"/>
    </x:xf>
    <x:xf numFmtId="0" fontId="25" fillId="34" borderId="8" xfId="0" applyNumberFormat="1" applyFont="1" applyFill="1" applyBorder="1" applyAlignment="1">
      <x:alignment horizontal="center" vertical="center" wrapText="1"/>
    </x:xf>
    <x:xf numFmtId="201" fontId="25" fillId="34" borderId="8" xfId="0" applyNumberFormat="1" applyFont="1" applyFill="1" applyBorder="1" applyAlignment="1">
      <x:alignment horizontal="center" vertical="center" wrapText="1"/>
    </x:xf>
    <x:xf numFmtId="0" fontId="17" fillId="35" borderId="8" xfId="0" applyNumberFormat="1" applyFont="1" applyFill="1" applyBorder="1" applyAlignment="1">
      <x:alignment vertical="center" wrapText="1"/>
    </x:xf>
    <x:xf numFmtId="0" fontId="17" fillId="35" borderId="8" xfId="0" applyNumberFormat="1" applyFont="1" applyFill="1" applyBorder="1" applyAlignment="1">
      <x:alignment horizontal="center" vertical="center" wrapText="1"/>
    </x:xf>
    <x:xf numFmtId="201" fontId="17" fillId="35" borderId="8" xfId="0" applyNumberFormat="1" applyFont="1" applyFill="1" applyBorder="1" applyAlignment="1">
      <x:alignment horizontal="center" vertical="center" wrapText="1"/>
    </x:xf>
    <x:xf numFmtId="0" fontId="18" fillId="36" borderId="8" xfId="0" applyNumberFormat="1" applyFont="1" applyFill="1" applyBorder="1" applyAlignment="1">
      <x:alignment vertical="center" wrapText="1"/>
    </x:xf>
    <x:xf numFmtId="0" fontId="18" fillId="36" borderId="8" xfId="0" applyNumberFormat="1" applyFont="1" applyFill="1" applyBorder="1" applyAlignment="1">
      <x:alignment horizontal="center" vertical="center" wrapText="1"/>
    </x:xf>
    <x:xf numFmtId="201" fontId="18" fillId="36" borderId="8" xfId="0" applyNumberFormat="1" applyFont="1" applyFill="1" applyBorder="1" applyAlignment="1">
      <x:alignment horizontal="center" vertical="center" wrapText="1"/>
    </x:xf>
    <x:xf numFmtId="0" fontId="19" fillId="37" borderId="8" xfId="0" applyNumberFormat="1" applyFont="1" applyFill="1" applyBorder="1" applyAlignment="1">
      <x:alignment vertical="center" wrapText="1"/>
    </x:xf>
    <x:xf numFmtId="0" fontId="19" fillId="37" borderId="8" xfId="0" applyNumberFormat="1" applyFont="1" applyFill="1" applyBorder="1" applyAlignment="1">
      <x:alignment horizontal="center" vertical="center" wrapText="1"/>
    </x:xf>
    <x:xf numFmtId="201" fontId="19" fillId="37" borderId="8" xfId="0" applyNumberFormat="1" applyFont="1" applyFill="1" applyBorder="1" applyAlignment="1">
      <x:alignment horizontal="center" vertical="center" wrapText="1"/>
    </x:xf>
    <x:xf numFmtId="0" fontId="26" fillId="37" borderId="8" xfId="0" applyNumberFormat="1" applyFont="1" applyFill="1" applyBorder="1" applyAlignment="1">
      <x:alignment vertical="center" wrapText="1"/>
    </x:xf>
    <x:xf numFmtId="0" fontId="26" fillId="37" borderId="8" xfId="0" applyNumberFormat="1" applyFont="1" applyFill="1" applyBorder="1" applyAlignment="1">
      <x:alignment horizontal="center" vertical="center" wrapText="1"/>
    </x:xf>
    <x:xf numFmtId="201" fontId="26" fillId="37" borderId="8" xfId="0" applyNumberFormat="1" applyFont="1" applyFill="1" applyBorder="1" applyAlignment="1">
      <x:alignment horizontal="center" vertical="center" wrapText="1"/>
    </x:xf>
    <x:xf numFmtId="0" fontId="0" fillId="38" borderId="0" xfId="0" applyNumberFormat="1" applyFont="1" applyFill="1" applyBorder="1"/>
    <x:xf numFmtId="0" fontId="1" fillId="38" borderId="0" xfId="0" applyNumberFormat="1" applyFont="1" applyFill="1" applyBorder="1"/>
    <x:xf numFmtId="0" fontId="1" fillId="38" borderId="0" xfId="0" applyNumberFormat="1" applyFont="1" applyFill="1" applyBorder="1" applyAlignment="1">
      <x:alignment horizontal="left"/>
    </x:xf>
    <x:xf numFmtId="0" fontId="1" fillId="38" borderId="0" xfId="0" applyNumberFormat="1" applyFont="1" applyFill="1" applyBorder="1" applyAlignment="1">
      <x:alignment horizontal="left" vertical="center"/>
    </x:xf>
    <x:xf numFmtId="0" fontId="0" fillId="36" borderId="0" xfId="0" applyNumberFormat="1" applyFont="1" applyFill="1" applyBorder="1"/>
    <x:xf numFmtId="0" fontId="20" fillId="36" borderId="0" xfId="0" applyNumberFormat="1" applyFont="1" applyFill="1" applyBorder="1"/>
    <x:xf numFmtId="0" fontId="20" fillId="36" borderId="0" xfId="0" applyNumberFormat="1" applyFont="1" applyFill="1" applyBorder="1" applyAlignment="1">
      <x:alignment wrapText="1"/>
    </x:xf>
    <x:xf numFmtId="0" fontId="20" fillId="36" borderId="0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/>
    <x:xf numFmtId="0" fontId="3" fillId="32" borderId="0" xfId="0" applyNumberFormat="1" applyFont="1" applyFill="1" applyBorder="1"/>
    <x:xf numFmtId="0" fontId="3" fillId="32" borderId="9" xfId="0" applyNumberFormat="1" applyFont="1" applyFill="1" applyBorder="1"/>
    <x:xf numFmtId="0" fontId="3" fillId="32" borderId="9" xfId="0" applyNumberFormat="1" applyFont="1" applyFill="1" applyBorder="1" applyAlignment="1">
      <x:alignment wrapText="1"/>
    </x:xf>
    <x:xf numFmtId="0" fontId="3" fillId="32" borderId="9" xfId="0" applyNumberFormat="1" applyFont="1" applyFill="1" applyBorder="1" applyAlignment="1">
      <x:alignment horizontal="center" wrapText="1"/>
    </x:xf>
    <x:xf numFmtId="0" fontId="3" fillId="32" borderId="9" xfId="0" applyNumberFormat="1" applyFont="1" applyFill="1" applyBorder="1" applyAlignment="1">
      <x:alignment horizontal="center" vertical="center" wrapText="1"/>
    </x:xf>
    <x:xf numFmtId="0" fontId="7" fillId="39" borderId="10" xfId="0" applyNumberFormat="1" applyFont="1" applyFill="1" applyBorder="1" applyAlignment="1">
      <x:alignment vertical="center" wrapText="1"/>
    </x:xf>
    <x:xf numFmtId="0" fontId="7" fillId="39" borderId="10" xfId="0" applyNumberFormat="1" applyFont="1" applyFill="1" applyBorder="1" applyAlignment="1">
      <x:alignment horizontal="center" vertical="center" wrapText="1"/>
    </x:xf>
    <x:xf numFmtId="0" fontId="9" fillId="40" borderId="0" xfId="0" applyNumberFormat="1" applyFont="1" applyFill="1" applyBorder="1" applyAlignment="1">
      <x:alignment vertical="center"/>
    </x:xf>
    <x:xf numFmtId="0" fontId="15" fillId="41" borderId="8" xfId="0" applyNumberFormat="1" applyFont="1" applyFill="1" applyBorder="1" applyAlignment="1">
      <x:alignment vertical="center" wrapText="1"/>
    </x:xf>
    <x:xf numFmtId="0" fontId="15" fillId="41" borderId="8" xfId="0" applyNumberFormat="1" applyFont="1" applyFill="1" applyBorder="1" applyAlignment="1">
      <x:alignment horizontal="center" vertical="center" wrapText="1"/>
    </x:xf>
    <x:xf numFmtId="201" fontId="15" fillId="41" borderId="8" xfId="0" applyNumberFormat="1" applyFont="1" applyFill="1" applyBorder="1" applyAlignment="1">
      <x:alignment horizontal="center" vertical="center" wrapText="1"/>
    </x:xf>
    <x:xf numFmtId="0" fontId="27" fillId="41" borderId="8" xfId="0" applyNumberFormat="1" applyFont="1" applyFill="1" applyBorder="1" applyAlignment="1">
      <x:alignment vertical="center" wrapText="1"/>
    </x:xf>
    <x:xf numFmtId="0" fontId="27" fillId="41" borderId="8" xfId="0" applyNumberFormat="1" applyFont="1" applyFill="1" applyBorder="1" applyAlignment="1">
      <x:alignment horizontal="center" vertical="center" wrapText="1"/>
    </x:xf>
    <x:xf numFmtId="201" fontId="27" fillId="41" borderId="8" xfId="0" applyNumberFormat="1" applyFont="1" applyFill="1" applyBorder="1" applyAlignment="1">
      <x:alignment horizontal="center" vertical="center" wrapText="1"/>
    </x:xf>
    <x:xf numFmtId="0" fontId="16" fillId="42" borderId="8" xfId="0" applyNumberFormat="1" applyFont="1" applyFill="1" applyBorder="1" applyAlignment="1">
      <x:alignment vertical="center" wrapText="1"/>
    </x:xf>
    <x:xf numFmtId="0" fontId="16" fillId="42" borderId="8" xfId="0" applyNumberFormat="1" applyFont="1" applyFill="1" applyBorder="1" applyAlignment="1">
      <x:alignment horizontal="center" vertical="center" wrapText="1"/>
    </x:xf>
    <x:xf numFmtId="201" fontId="16" fillId="42" borderId="8" xfId="0" applyNumberFormat="1" applyFont="1" applyFill="1" applyBorder="1" applyAlignment="1">
      <x:alignment horizontal="center" vertical="center" wrapText="1"/>
    </x:xf>
    <x:xf numFmtId="0" fontId="28" fillId="42" borderId="8" xfId="0" applyNumberFormat="1" applyFont="1" applyFill="1" applyBorder="1" applyAlignment="1">
      <x:alignment vertical="center" wrapText="1"/>
    </x:xf>
    <x:xf numFmtId="0" fontId="28" fillId="42" borderId="8" xfId="0" applyNumberFormat="1" applyFont="1" applyFill="1" applyBorder="1" applyAlignment="1">
      <x:alignment horizontal="center" vertical="center" wrapText="1"/>
    </x:xf>
    <x:xf numFmtId="201" fontId="28" fillId="42" borderId="8" xfId="0" applyNumberFormat="1" applyFont="1" applyFill="1" applyBorder="1" applyAlignment="1">
      <x:alignment horizontal="center" vertical="center" wrapText="1"/>
    </x:xf>
    <x:xf numFmtId="0" fontId="17" fillId="43" borderId="8" xfId="0" applyNumberFormat="1" applyFont="1" applyFill="1" applyBorder="1" applyAlignment="1">
      <x:alignment vertical="center" wrapText="1"/>
    </x:xf>
    <x:xf numFmtId="0" fontId="17" fillId="43" borderId="8" xfId="0" applyNumberFormat="1" applyFont="1" applyFill="1" applyBorder="1" applyAlignment="1">
      <x:alignment horizontal="center" vertical="center" wrapText="1"/>
    </x:xf>
    <x:xf numFmtId="201" fontId="17" fillId="43" borderId="8" xfId="0" applyNumberFormat="1" applyFont="1" applyFill="1" applyBorder="1" applyAlignment="1">
      <x:alignment horizontal="center" vertical="center" wrapText="1"/>
    </x:xf>
    <x:xf numFmtId="0" fontId="18" fillId="44" borderId="8" xfId="0" applyNumberFormat="1" applyFont="1" applyFill="1" applyBorder="1" applyAlignment="1">
      <x:alignment vertical="center" wrapText="1"/>
    </x:xf>
    <x:xf numFmtId="0" fontId="18" fillId="44" borderId="8" xfId="0" applyNumberFormat="1" applyFont="1" applyFill="1" applyBorder="1" applyAlignment="1">
      <x:alignment horizontal="center" vertical="center" wrapText="1"/>
    </x:xf>
    <x:xf numFmtId="201" fontId="18" fillId="44" borderId="8" xfId="0" applyNumberFormat="1" applyFont="1" applyFill="1" applyBorder="1" applyAlignment="1">
      <x:alignment horizontal="center" vertical="center" wrapText="1"/>
    </x:xf>
    <x:xf numFmtId="0" fontId="19" fillId="45" borderId="8" xfId="0" applyNumberFormat="1" applyFont="1" applyFill="1" applyBorder="1" applyAlignment="1">
      <x:alignment vertical="center" wrapText="1"/>
    </x:xf>
    <x:xf numFmtId="0" fontId="19" fillId="45" borderId="8" xfId="0" applyNumberFormat="1" applyFont="1" applyFill="1" applyBorder="1" applyAlignment="1">
      <x:alignment horizontal="center" vertical="center" wrapText="1"/>
    </x:xf>
    <x:xf numFmtId="201" fontId="19" fillId="45" borderId="8" xfId="0" applyNumberFormat="1" applyFont="1" applyFill="1" applyBorder="1" applyAlignment="1">
      <x:alignment horizontal="center" vertical="center" wrapText="1"/>
    </x:xf>
    <x:xf numFmtId="0" fontId="29" fillId="45" borderId="8" xfId="0" applyNumberFormat="1" applyFont="1" applyFill="1" applyBorder="1" applyAlignment="1">
      <x:alignment vertical="center" wrapText="1"/>
    </x:xf>
    <x:xf numFmtId="0" fontId="29" fillId="45" borderId="8" xfId="0" applyNumberFormat="1" applyFont="1" applyFill="1" applyBorder="1" applyAlignment="1">
      <x:alignment horizontal="center" vertical="center" wrapText="1"/>
    </x:xf>
    <x:xf numFmtId="201" fontId="29" fillId="45" borderId="8" xfId="0" applyNumberFormat="1" applyFont="1" applyFill="1" applyBorder="1" applyAlignment="1">
      <x:alignment horizontal="center" vertical="center" wrapText="1"/>
    </x:xf>
    <x:xf numFmtId="0" fontId="0" fillId="46" borderId="0" xfId="0" applyNumberFormat="1" applyFont="1" applyFill="1" applyBorder="1"/>
    <x:xf numFmtId="0" fontId="1" fillId="46" borderId="0" xfId="0" applyNumberFormat="1" applyFont="1" applyFill="1" applyBorder="1"/>
    <x:xf numFmtId="0" fontId="1" fillId="46" borderId="0" xfId="0" applyNumberFormat="1" applyFont="1" applyFill="1" applyBorder="1" applyAlignment="1">
      <x:alignment horizontal="left"/>
    </x:xf>
    <x:xf numFmtId="0" fontId="1" fillId="46" borderId="0" xfId="0" applyNumberFormat="1" applyFont="1" applyFill="1" applyBorder="1" applyAlignment="1">
      <x:alignment horizontal="left" vertical="center"/>
    </x:xf>
    <x:xf numFmtId="0" fontId="0" fillId="44" borderId="0" xfId="0" applyNumberFormat="1" applyFont="1" applyFill="1" applyBorder="1"/>
    <x:xf numFmtId="0" fontId="20" fillId="44" borderId="0" xfId="0" applyNumberFormat="1" applyFont="1" applyFill="1" applyBorder="1"/>
    <x:xf numFmtId="0" fontId="20" fillId="44" borderId="0" xfId="0" applyNumberFormat="1" applyFont="1" applyFill="1" applyBorder="1" applyAlignment="1">
      <x:alignment wrapText="1"/>
    </x:xf>
    <x:xf numFmtId="0" fontId="20" fillId="44" borderId="0" xfId="0" applyNumberFormat="1" applyFont="1" applyFill="1" applyBorder="1" applyAlignment="1">
      <x:alignment vertical="center" wrapText="1"/>
    </x:xf>
    <x:xf numFmtId="0" fontId="0" fillId="40" borderId="0" xfId="0" applyNumberFormat="1" applyFont="1" applyFill="1" applyBorder="1"/>
    <x:xf numFmtId="0" fontId="3" fillId="40" borderId="0" xfId="0" applyNumberFormat="1" applyFont="1" applyFill="1" applyBorder="1"/>
    <x:xf numFmtId="0" fontId="3" fillId="40" borderId="9" xfId="0" applyNumberFormat="1" applyFont="1" applyFill="1" applyBorder="1"/>
    <x:xf numFmtId="0" fontId="3" fillId="40" borderId="9" xfId="0" applyNumberFormat="1" applyFont="1" applyFill="1" applyBorder="1" applyAlignment="1">
      <x:alignment wrapText="1"/>
    </x:xf>
    <x:xf numFmtId="0" fontId="3" fillId="40" borderId="9" xfId="0" applyNumberFormat="1" applyFont="1" applyFill="1" applyBorder="1" applyAlignment="1">
      <x:alignment horizontal="center" wrapText="1"/>
    </x:xf>
    <x:xf numFmtId="0" fontId="3" fillId="40" borderId="9" xfId="0" applyNumberFormat="1" applyFont="1" applyFill="1" applyBorder="1" applyAlignment="1">
      <x:alignment horizontal="center" vertical="center" wrapText="1"/>
    </x:xf>
    <x:xf numFmtId="0" fontId="7" fillId="47" borderId="10" xfId="0" applyNumberFormat="1" applyFont="1" applyFill="1" applyBorder="1" applyAlignment="1">
      <x:alignment vertical="center" wrapText="1"/>
    </x:xf>
    <x:xf numFmtId="0" fontId="7" fillId="47" borderId="10" xfId="0" applyNumberFormat="1" applyFont="1" applyFill="1" applyBorder="1" applyAlignment="1">
      <x:alignment horizontal="center" vertical="center" wrapText="1"/>
    </x:xf>
    <x:xf numFmtId="0" fontId="9" fillId="48" borderId="0" xfId="0" applyNumberFormat="1" applyFont="1" applyFill="1" applyBorder="1" applyAlignment="1">
      <x:alignment vertical="center"/>
    </x:xf>
    <x:xf numFmtId="0" fontId="15" fillId="49" borderId="8" xfId="0" applyNumberFormat="1" applyFont="1" applyFill="1" applyBorder="1" applyAlignment="1">
      <x:alignment vertical="center" wrapText="1"/>
    </x:xf>
    <x:xf numFmtId="0" fontId="15" fillId="49" borderId="8" xfId="0" applyNumberFormat="1" applyFont="1" applyFill="1" applyBorder="1" applyAlignment="1">
      <x:alignment horizontal="center" vertical="center" wrapText="1"/>
    </x:xf>
    <x:xf numFmtId="201" fontId="15" fillId="49" borderId="8" xfId="0" applyNumberFormat="1" applyFont="1" applyFill="1" applyBorder="1" applyAlignment="1">
      <x:alignment horizontal="center" vertical="center" wrapText="1"/>
    </x:xf>
    <x:xf numFmtId="0" fontId="30" fillId="49" borderId="8" xfId="0" applyNumberFormat="1" applyFont="1" applyFill="1" applyBorder="1" applyAlignment="1">
      <x:alignment vertical="center" wrapText="1"/>
    </x:xf>
    <x:xf numFmtId="0" fontId="30" fillId="49" borderId="8" xfId="0" applyNumberFormat="1" applyFont="1" applyFill="1" applyBorder="1" applyAlignment="1">
      <x:alignment horizontal="center" vertical="center" wrapText="1"/>
    </x:xf>
    <x:xf numFmtId="201" fontId="30" fillId="49" borderId="8" xfId="0" applyNumberFormat="1" applyFont="1" applyFill="1" applyBorder="1" applyAlignment="1">
      <x:alignment horizontal="center" vertical="center" wrapText="1"/>
    </x:xf>
    <x:xf numFmtId="0" fontId="16" fillId="50" borderId="8" xfId="0" applyNumberFormat="1" applyFont="1" applyFill="1" applyBorder="1" applyAlignment="1">
      <x:alignment vertical="center" wrapText="1"/>
    </x:xf>
    <x:xf numFmtId="0" fontId="16" fillId="50" borderId="8" xfId="0" applyNumberFormat="1" applyFont="1" applyFill="1" applyBorder="1" applyAlignment="1">
      <x:alignment horizontal="center" vertical="center" wrapText="1"/>
    </x:xf>
    <x:xf numFmtId="201" fontId="16" fillId="50" borderId="8" xfId="0" applyNumberFormat="1" applyFont="1" applyFill="1" applyBorder="1" applyAlignment="1">
      <x:alignment horizontal="center" vertical="center" wrapText="1"/>
    </x:xf>
    <x:xf numFmtId="0" fontId="31" fillId="50" borderId="8" xfId="0" applyNumberFormat="1" applyFont="1" applyFill="1" applyBorder="1" applyAlignment="1">
      <x:alignment vertical="center" wrapText="1"/>
    </x:xf>
    <x:xf numFmtId="0" fontId="31" fillId="50" borderId="8" xfId="0" applyNumberFormat="1" applyFont="1" applyFill="1" applyBorder="1" applyAlignment="1">
      <x:alignment horizontal="center" vertical="center" wrapText="1"/>
    </x:xf>
    <x:xf numFmtId="201" fontId="31" fillId="50" borderId="8" xfId="0" applyNumberFormat="1" applyFont="1" applyFill="1" applyBorder="1" applyAlignment="1">
      <x:alignment horizontal="center" vertical="center" wrapText="1"/>
    </x:xf>
    <x:xf numFmtId="0" fontId="17" fillId="51" borderId="8" xfId="0" applyNumberFormat="1" applyFont="1" applyFill="1" applyBorder="1" applyAlignment="1">
      <x:alignment vertical="center" wrapText="1"/>
    </x:xf>
    <x:xf numFmtId="0" fontId="17" fillId="51" borderId="8" xfId="0" applyNumberFormat="1" applyFont="1" applyFill="1" applyBorder="1" applyAlignment="1">
      <x:alignment horizontal="center" vertical="center" wrapText="1"/>
    </x:xf>
    <x:xf numFmtId="201" fontId="17" fillId="51" borderId="8" xfId="0" applyNumberFormat="1" applyFont="1" applyFill="1" applyBorder="1" applyAlignment="1">
      <x:alignment horizontal="center" vertical="center" wrapText="1"/>
    </x:xf>
    <x:xf numFmtId="0" fontId="18" fillId="52" borderId="8" xfId="0" applyNumberFormat="1" applyFont="1" applyFill="1" applyBorder="1" applyAlignment="1">
      <x:alignment vertical="center" wrapText="1"/>
    </x:xf>
    <x:xf numFmtId="0" fontId="18" fillId="52" borderId="8" xfId="0" applyNumberFormat="1" applyFont="1" applyFill="1" applyBorder="1" applyAlignment="1">
      <x:alignment horizontal="center" vertical="center" wrapText="1"/>
    </x:xf>
    <x:xf numFmtId="201" fontId="18" fillId="52" borderId="8" xfId="0" applyNumberFormat="1" applyFont="1" applyFill="1" applyBorder="1" applyAlignment="1">
      <x:alignment horizontal="center" vertical="center" wrapText="1"/>
    </x:xf>
    <x:xf numFmtId="0" fontId="19" fillId="53" borderId="8" xfId="0" applyNumberFormat="1" applyFont="1" applyFill="1" applyBorder="1" applyAlignment="1">
      <x:alignment vertical="center" wrapText="1"/>
    </x:xf>
    <x:xf numFmtId="0" fontId="19" fillId="53" borderId="8" xfId="0" applyNumberFormat="1" applyFont="1" applyFill="1" applyBorder="1" applyAlignment="1">
      <x:alignment horizontal="center" vertical="center" wrapText="1"/>
    </x:xf>
    <x:xf numFmtId="201" fontId="19" fillId="53" borderId="8" xfId="0" applyNumberFormat="1" applyFont="1" applyFill="1" applyBorder="1" applyAlignment="1">
      <x:alignment horizontal="center" vertical="center" wrapText="1"/>
    </x:xf>
    <x:xf numFmtId="0" fontId="32" fillId="53" borderId="8" xfId="0" applyNumberFormat="1" applyFont="1" applyFill="1" applyBorder="1" applyAlignment="1">
      <x:alignment vertical="center" wrapText="1"/>
    </x:xf>
    <x:xf numFmtId="0" fontId="32" fillId="53" borderId="8" xfId="0" applyNumberFormat="1" applyFont="1" applyFill="1" applyBorder="1" applyAlignment="1">
      <x:alignment horizontal="center" vertical="center" wrapText="1"/>
    </x:xf>
    <x:xf numFmtId="201" fontId="32" fillId="53" borderId="8" xfId="0" applyNumberFormat="1" applyFont="1" applyFill="1" applyBorder="1" applyAlignment="1">
      <x:alignment horizontal="center" vertical="center" wrapText="1"/>
    </x:xf>
    <x:xf numFmtId="0" fontId="0" fillId="54" borderId="0" xfId="0" applyNumberFormat="1" applyFont="1" applyFill="1" applyBorder="1"/>
    <x:xf numFmtId="0" fontId="1" fillId="54" borderId="0" xfId="0" applyNumberFormat="1" applyFont="1" applyFill="1" applyBorder="1"/>
    <x:xf numFmtId="0" fontId="1" fillId="54" borderId="0" xfId="0" applyNumberFormat="1" applyFont="1" applyFill="1" applyBorder="1" applyAlignment="1">
      <x:alignment horizontal="left"/>
    </x:xf>
    <x:xf numFmtId="0" fontId="1" fillId="54" borderId="0" xfId="0" applyNumberFormat="1" applyFont="1" applyFill="1" applyBorder="1" applyAlignment="1">
      <x:alignment horizontal="left" vertical="center"/>
    </x:xf>
    <x:xf numFmtId="0" fontId="0" fillId="52" borderId="0" xfId="0" applyNumberFormat="1" applyFont="1" applyFill="1" applyBorder="1"/>
    <x:xf numFmtId="0" fontId="20" fillId="52" borderId="0" xfId="0" applyNumberFormat="1" applyFont="1" applyFill="1" applyBorder="1"/>
    <x:xf numFmtId="0" fontId="20" fillId="52" borderId="0" xfId="0" applyNumberFormat="1" applyFont="1" applyFill="1" applyBorder="1" applyAlignment="1">
      <x:alignment wrapText="1"/>
    </x:xf>
    <x:xf numFmtId="0" fontId="20" fillId="52" borderId="0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/>
    <x:xf numFmtId="0" fontId="3" fillId="48" borderId="0" xfId="0" applyNumberFormat="1" applyFont="1" applyFill="1" applyBorder="1"/>
    <x:xf numFmtId="0" fontId="3" fillId="48" borderId="9" xfId="0" applyNumberFormat="1" applyFont="1" applyFill="1" applyBorder="1"/>
    <x:xf numFmtId="0" fontId="3" fillId="48" borderId="9" xfId="0" applyNumberFormat="1" applyFont="1" applyFill="1" applyBorder="1" applyAlignment="1">
      <x:alignment wrapText="1"/>
    </x:xf>
    <x:xf numFmtId="0" fontId="3" fillId="48" borderId="9" xfId="0" applyNumberFormat="1" applyFont="1" applyFill="1" applyBorder="1" applyAlignment="1">
      <x:alignment horizontal="center" wrapText="1"/>
    </x:xf>
    <x:xf numFmtId="0" fontId="3" fillId="48" borderId="9" xfId="0" applyNumberFormat="1" applyFont="1" applyFill="1" applyBorder="1" applyAlignment="1">
      <x:alignment horizontal="center" vertical="center" wrapText="1"/>
    </x:xf>
    <x:xf numFmtId="0" fontId="7" fillId="55" borderId="10" xfId="0" applyNumberFormat="1" applyFont="1" applyFill="1" applyBorder="1" applyAlignment="1">
      <x:alignment vertical="center" wrapText="1"/>
    </x:xf>
    <x:xf numFmtId="0" fontId="7" fillId="55" borderId="10" xfId="0" applyNumberFormat="1" applyFont="1" applyFill="1" applyBorder="1" applyAlignment="1">
      <x:alignment horizontal="center" vertical="center" wrapText="1"/>
    </x:xf>
    <x:xf numFmtId="0" fontId="9" fillId="56" borderId="0" xfId="0" applyNumberFormat="1" applyFont="1" applyFill="1" applyBorder="1" applyAlignment="1">
      <x:alignment vertical="center"/>
    </x:xf>
    <x:xf numFmtId="0" fontId="15" fillId="57" borderId="8" xfId="0" applyNumberFormat="1" applyFont="1" applyFill="1" applyBorder="1" applyAlignment="1">
      <x:alignment vertical="center" wrapText="1"/>
    </x:xf>
    <x:xf numFmtId="0" fontId="15" fillId="57" borderId="8" xfId="0" applyNumberFormat="1" applyFont="1" applyFill="1" applyBorder="1" applyAlignment="1">
      <x:alignment horizontal="center" vertical="center" wrapText="1"/>
    </x:xf>
    <x:xf numFmtId="201" fontId="15" fillId="57" borderId="8" xfId="0" applyNumberFormat="1" applyFont="1" applyFill="1" applyBorder="1" applyAlignment="1">
      <x:alignment horizontal="center" vertical="center" wrapText="1"/>
    </x:xf>
    <x:xf numFmtId="0" fontId="33" fillId="57" borderId="8" xfId="0" applyNumberFormat="1" applyFont="1" applyFill="1" applyBorder="1" applyAlignment="1">
      <x:alignment vertical="center" wrapText="1"/>
    </x:xf>
    <x:xf numFmtId="0" fontId="33" fillId="57" borderId="8" xfId="0" applyNumberFormat="1" applyFont="1" applyFill="1" applyBorder="1" applyAlignment="1">
      <x:alignment horizontal="center" vertical="center" wrapText="1"/>
    </x:xf>
    <x:xf numFmtId="201" fontId="33" fillId="57" borderId="8" xfId="0" applyNumberFormat="1" applyFont="1" applyFill="1" applyBorder="1" applyAlignment="1">
      <x:alignment horizontal="center" vertical="center" wrapText="1"/>
    </x:xf>
    <x:xf numFmtId="0" fontId="16" fillId="58" borderId="8" xfId="0" applyNumberFormat="1" applyFont="1" applyFill="1" applyBorder="1" applyAlignment="1">
      <x:alignment vertical="center" wrapText="1"/>
    </x:xf>
    <x:xf numFmtId="0" fontId="16" fillId="58" borderId="8" xfId="0" applyNumberFormat="1" applyFont="1" applyFill="1" applyBorder="1" applyAlignment="1">
      <x:alignment horizontal="center" vertical="center" wrapText="1"/>
    </x:xf>
    <x:xf numFmtId="201" fontId="16" fillId="58" borderId="8" xfId="0" applyNumberFormat="1" applyFont="1" applyFill="1" applyBorder="1" applyAlignment="1">
      <x:alignment horizontal="center" vertical="center" wrapText="1"/>
    </x:xf>
    <x:xf numFmtId="0" fontId="34" fillId="58" borderId="8" xfId="0" applyNumberFormat="1" applyFont="1" applyFill="1" applyBorder="1" applyAlignment="1">
      <x:alignment vertical="center" wrapText="1"/>
    </x:xf>
    <x:xf numFmtId="0" fontId="34" fillId="58" borderId="8" xfId="0" applyNumberFormat="1" applyFont="1" applyFill="1" applyBorder="1" applyAlignment="1">
      <x:alignment horizontal="center" vertical="center" wrapText="1"/>
    </x:xf>
    <x:xf numFmtId="201" fontId="34" fillId="58" borderId="8" xfId="0" applyNumberFormat="1" applyFont="1" applyFill="1" applyBorder="1" applyAlignment="1">
      <x:alignment horizontal="center" vertical="center" wrapText="1"/>
    </x:xf>
    <x:xf numFmtId="0" fontId="17" fillId="59" borderId="8" xfId="0" applyNumberFormat="1" applyFont="1" applyFill="1" applyBorder="1" applyAlignment="1">
      <x:alignment vertical="center" wrapText="1"/>
    </x:xf>
    <x:xf numFmtId="0" fontId="17" fillId="59" borderId="8" xfId="0" applyNumberFormat="1" applyFont="1" applyFill="1" applyBorder="1" applyAlignment="1">
      <x:alignment horizontal="center" vertical="center" wrapText="1"/>
    </x:xf>
    <x:xf numFmtId="201" fontId="17" fillId="59" borderId="8" xfId="0" applyNumberFormat="1" applyFont="1" applyFill="1" applyBorder="1" applyAlignment="1">
      <x:alignment horizontal="center" vertical="center" wrapText="1"/>
    </x:xf>
    <x:xf numFmtId="0" fontId="18" fillId="60" borderId="8" xfId="0" applyNumberFormat="1" applyFont="1" applyFill="1" applyBorder="1" applyAlignment="1">
      <x:alignment vertical="center" wrapText="1"/>
    </x:xf>
    <x:xf numFmtId="0" fontId="18" fillId="60" borderId="8" xfId="0" applyNumberFormat="1" applyFont="1" applyFill="1" applyBorder="1" applyAlignment="1">
      <x:alignment horizontal="center" vertical="center" wrapText="1"/>
    </x:xf>
    <x:xf numFmtId="201" fontId="18" fillId="60" borderId="8" xfId="0" applyNumberFormat="1" applyFont="1" applyFill="1" applyBorder="1" applyAlignment="1">
      <x:alignment horizontal="center" vertical="center" wrapText="1"/>
    </x:xf>
    <x:xf numFmtId="0" fontId="19" fillId="61" borderId="8" xfId="0" applyNumberFormat="1" applyFont="1" applyFill="1" applyBorder="1" applyAlignment="1">
      <x:alignment vertical="center" wrapText="1"/>
    </x:xf>
    <x:xf numFmtId="0" fontId="19" fillId="61" borderId="8" xfId="0" applyNumberFormat="1" applyFont="1" applyFill="1" applyBorder="1" applyAlignment="1">
      <x:alignment horizontal="center" vertical="center" wrapText="1"/>
    </x:xf>
    <x:xf numFmtId="201" fontId="19" fillId="61" borderId="8" xfId="0" applyNumberFormat="1" applyFont="1" applyFill="1" applyBorder="1" applyAlignment="1">
      <x:alignment horizontal="center" vertical="center" wrapText="1"/>
    </x:xf>
    <x:xf numFmtId="0" fontId="35" fillId="61" borderId="8" xfId="0" applyNumberFormat="1" applyFont="1" applyFill="1" applyBorder="1" applyAlignment="1">
      <x:alignment vertical="center" wrapText="1"/>
    </x:xf>
    <x:xf numFmtId="0" fontId="35" fillId="61" borderId="8" xfId="0" applyNumberFormat="1" applyFont="1" applyFill="1" applyBorder="1" applyAlignment="1">
      <x:alignment horizontal="center" vertical="center" wrapText="1"/>
    </x:xf>
    <x:xf numFmtId="201" fontId="35" fillId="61" borderId="8" xfId="0" applyNumberFormat="1" applyFont="1" applyFill="1" applyBorder="1" applyAlignment="1">
      <x:alignment horizontal="center" vertical="center" wrapText="1"/>
    </x:xf>
    <x:xf numFmtId="0" fontId="0" fillId="62" borderId="0" xfId="0" applyNumberFormat="1" applyFont="1" applyFill="1" applyBorder="1"/>
    <x:xf numFmtId="0" fontId="1" fillId="62" borderId="0" xfId="0" applyNumberFormat="1" applyFont="1" applyFill="1" applyBorder="1"/>
    <x:xf numFmtId="0" fontId="1" fillId="62" borderId="0" xfId="0" applyNumberFormat="1" applyFont="1" applyFill="1" applyBorder="1" applyAlignment="1">
      <x:alignment horizontal="left"/>
    </x:xf>
    <x:xf numFmtId="0" fontId="1" fillId="62" borderId="0" xfId="0" applyNumberFormat="1" applyFont="1" applyFill="1" applyBorder="1" applyAlignment="1">
      <x:alignment horizontal="left" vertical="center"/>
    </x:xf>
    <x:xf numFmtId="0" fontId="0" fillId="60" borderId="0" xfId="0" applyNumberFormat="1" applyFont="1" applyFill="1" applyBorder="1"/>
    <x:xf numFmtId="0" fontId="20" fillId="60" borderId="0" xfId="0" applyNumberFormat="1" applyFont="1" applyFill="1" applyBorder="1"/>
    <x:xf numFmtId="0" fontId="20" fillId="60" borderId="0" xfId="0" applyNumberFormat="1" applyFont="1" applyFill="1" applyBorder="1" applyAlignment="1">
      <x:alignment wrapText="1"/>
    </x:xf>
    <x:xf numFmtId="0" fontId="20" fillId="60" borderId="0" xfId="0" applyNumberFormat="1" applyFont="1" applyFill="1" applyBorder="1" applyAlignment="1">
      <x:alignment vertical="center" wrapText="1"/>
    </x:xf>
    <x:xf numFmtId="0" fontId="0" fillId="56" borderId="0" xfId="0" applyNumberFormat="1" applyFont="1" applyFill="1" applyBorder="1"/>
    <x:xf numFmtId="0" fontId="3" fillId="56" borderId="0" xfId="0" applyNumberFormat="1" applyFont="1" applyFill="1" applyBorder="1"/>
    <x:xf numFmtId="0" fontId="3" fillId="56" borderId="9" xfId="0" applyNumberFormat="1" applyFont="1" applyFill="1" applyBorder="1"/>
    <x:xf numFmtId="0" fontId="3" fillId="56" borderId="9" xfId="0" applyNumberFormat="1" applyFont="1" applyFill="1" applyBorder="1" applyAlignment="1">
      <x:alignment wrapText="1"/>
    </x:xf>
    <x:xf numFmtId="0" fontId="3" fillId="56" borderId="9" xfId="0" applyNumberFormat="1" applyFont="1" applyFill="1" applyBorder="1" applyAlignment="1">
      <x:alignment horizontal="center" wrapText="1"/>
    </x:xf>
    <x:xf numFmtId="0" fontId="3" fillId="56" borderId="9" xfId="0" applyNumberFormat="1" applyFont="1" applyFill="1" applyBorder="1" applyAlignment="1">
      <x:alignment horizontal="center" vertical="center" wrapText="1"/>
    </x:xf>
    <x:xf numFmtId="0" fontId="7" fillId="63" borderId="10" xfId="0" applyNumberFormat="1" applyFont="1" applyFill="1" applyBorder="1" applyAlignment="1">
      <x:alignment vertical="center" wrapText="1"/>
    </x:xf>
    <x:xf numFmtId="0" fontId="7" fillId="63" borderId="10" xfId="0" applyNumberFormat="1" applyFont="1" applyFill="1" applyBorder="1" applyAlignment="1">
      <x:alignment horizontal="center" vertical="center" wrapText="1"/>
    </x:xf>
    <x:xf numFmtId="0" fontId="9" fillId="64" borderId="0" xfId="0" applyNumberFormat="1" applyFont="1" applyFill="1" applyBorder="1" applyAlignment="1">
      <x:alignment vertical="center"/>
    </x:xf>
    <x:xf numFmtId="0" fontId="15" fillId="65" borderId="8" xfId="0" applyNumberFormat="1" applyFont="1" applyFill="1" applyBorder="1" applyAlignment="1">
      <x:alignment vertical="center" wrapText="1"/>
    </x:xf>
    <x:xf numFmtId="0" fontId="15" fillId="65" borderId="8" xfId="0" applyNumberFormat="1" applyFont="1" applyFill="1" applyBorder="1" applyAlignment="1">
      <x:alignment horizontal="center" vertical="center" wrapText="1"/>
    </x:xf>
    <x:xf numFmtId="201" fontId="15" fillId="65" borderId="8" xfId="0" applyNumberFormat="1" applyFont="1" applyFill="1" applyBorder="1" applyAlignment="1">
      <x:alignment horizontal="center" vertical="center" wrapText="1"/>
    </x:xf>
    <x:xf numFmtId="0" fontId="36" fillId="65" borderId="8" xfId="0" applyNumberFormat="1" applyFont="1" applyFill="1" applyBorder="1" applyAlignment="1">
      <x:alignment vertical="center" wrapText="1"/>
    </x:xf>
    <x:xf numFmtId="0" fontId="36" fillId="65" borderId="8" xfId="0" applyNumberFormat="1" applyFont="1" applyFill="1" applyBorder="1" applyAlignment="1">
      <x:alignment horizontal="center" vertical="center" wrapText="1"/>
    </x:xf>
    <x:xf numFmtId="201" fontId="36" fillId="65" borderId="8" xfId="0" applyNumberFormat="1" applyFont="1" applyFill="1" applyBorder="1" applyAlignment="1">
      <x:alignment horizontal="center" vertical="center" wrapText="1"/>
    </x:xf>
    <x:xf numFmtId="0" fontId="16" fillId="66" borderId="8" xfId="0" applyNumberFormat="1" applyFont="1" applyFill="1" applyBorder="1" applyAlignment="1">
      <x:alignment vertical="center" wrapText="1"/>
    </x:xf>
    <x:xf numFmtId="0" fontId="16" fillId="66" borderId="8" xfId="0" applyNumberFormat="1" applyFont="1" applyFill="1" applyBorder="1" applyAlignment="1">
      <x:alignment horizontal="center" vertical="center" wrapText="1"/>
    </x:xf>
    <x:xf numFmtId="201" fontId="16" fillId="66" borderId="8" xfId="0" applyNumberFormat="1" applyFont="1" applyFill="1" applyBorder="1" applyAlignment="1">
      <x:alignment horizontal="center" vertical="center" wrapText="1"/>
    </x:xf>
    <x:xf numFmtId="0" fontId="37" fillId="66" borderId="8" xfId="0" applyNumberFormat="1" applyFont="1" applyFill="1" applyBorder="1" applyAlignment="1">
      <x:alignment vertical="center" wrapText="1"/>
    </x:xf>
    <x:xf numFmtId="0" fontId="37" fillId="66" borderId="8" xfId="0" applyNumberFormat="1" applyFont="1" applyFill="1" applyBorder="1" applyAlignment="1">
      <x:alignment horizontal="center" vertical="center" wrapText="1"/>
    </x:xf>
    <x:xf numFmtId="201" fontId="37" fillId="66" borderId="8" xfId="0" applyNumberFormat="1" applyFont="1" applyFill="1" applyBorder="1" applyAlignment="1">
      <x:alignment horizontal="center" vertical="center" wrapText="1"/>
    </x:xf>
    <x:xf numFmtId="0" fontId="17" fillId="67" borderId="8" xfId="0" applyNumberFormat="1" applyFont="1" applyFill="1" applyBorder="1" applyAlignment="1">
      <x:alignment vertical="center" wrapText="1"/>
    </x:xf>
    <x:xf numFmtId="0" fontId="17" fillId="67" borderId="8" xfId="0" applyNumberFormat="1" applyFont="1" applyFill="1" applyBorder="1" applyAlignment="1">
      <x:alignment horizontal="center" vertical="center" wrapText="1"/>
    </x:xf>
    <x:xf numFmtId="201" fontId="17" fillId="67" borderId="8" xfId="0" applyNumberFormat="1" applyFont="1" applyFill="1" applyBorder="1" applyAlignment="1">
      <x:alignment horizontal="center" vertical="center" wrapText="1"/>
    </x:xf>
    <x:xf numFmtId="0" fontId="18" fillId="68" borderId="8" xfId="0" applyNumberFormat="1" applyFont="1" applyFill="1" applyBorder="1" applyAlignment="1">
      <x:alignment vertical="center" wrapText="1"/>
    </x:xf>
    <x:xf numFmtId="0" fontId="18" fillId="68" borderId="8" xfId="0" applyNumberFormat="1" applyFont="1" applyFill="1" applyBorder="1" applyAlignment="1">
      <x:alignment horizontal="center" vertical="center" wrapText="1"/>
    </x:xf>
    <x:xf numFmtId="201" fontId="18" fillId="68" borderId="8" xfId="0" applyNumberFormat="1" applyFont="1" applyFill="1" applyBorder="1" applyAlignment="1">
      <x:alignment horizontal="center" vertical="center" wrapText="1"/>
    </x:xf>
    <x:xf numFmtId="0" fontId="19" fillId="69" borderId="8" xfId="0" applyNumberFormat="1" applyFont="1" applyFill="1" applyBorder="1" applyAlignment="1">
      <x:alignment vertical="center" wrapText="1"/>
    </x:xf>
    <x:xf numFmtId="0" fontId="19" fillId="69" borderId="8" xfId="0" applyNumberFormat="1" applyFont="1" applyFill="1" applyBorder="1" applyAlignment="1">
      <x:alignment horizontal="center" vertical="center" wrapText="1"/>
    </x:xf>
    <x:xf numFmtId="201" fontId="19" fillId="69" borderId="8" xfId="0" applyNumberFormat="1" applyFont="1" applyFill="1" applyBorder="1" applyAlignment="1">
      <x:alignment horizontal="center" vertical="center" wrapText="1"/>
    </x:xf>
    <x:xf numFmtId="0" fontId="38" fillId="69" borderId="8" xfId="0" applyNumberFormat="1" applyFont="1" applyFill="1" applyBorder="1" applyAlignment="1">
      <x:alignment vertical="center" wrapText="1"/>
    </x:xf>
    <x:xf numFmtId="0" fontId="38" fillId="69" borderId="8" xfId="0" applyNumberFormat="1" applyFont="1" applyFill="1" applyBorder="1" applyAlignment="1">
      <x:alignment horizontal="center" vertical="center" wrapText="1"/>
    </x:xf>
    <x:xf numFmtId="201" fontId="38" fillId="69" borderId="8" xfId="0" applyNumberFormat="1" applyFont="1" applyFill="1" applyBorder="1" applyAlignment="1">
      <x:alignment horizontal="center" vertical="center" wrapText="1"/>
    </x:xf>
    <x:xf numFmtId="0" fontId="0" fillId="70" borderId="0" xfId="0" applyNumberFormat="1" applyFont="1" applyFill="1" applyBorder="1"/>
    <x:xf numFmtId="0" fontId="1" fillId="70" borderId="0" xfId="0" applyNumberFormat="1" applyFont="1" applyFill="1" applyBorder="1"/>
    <x:xf numFmtId="0" fontId="1" fillId="70" borderId="0" xfId="0" applyNumberFormat="1" applyFont="1" applyFill="1" applyBorder="1" applyAlignment="1">
      <x:alignment horizontal="left"/>
    </x:xf>
    <x:xf numFmtId="0" fontId="1" fillId="70" borderId="0" xfId="0" applyNumberFormat="1" applyFont="1" applyFill="1" applyBorder="1" applyAlignment="1">
      <x:alignment horizontal="left" vertical="center"/>
    </x:xf>
    <x:xf numFmtId="0" fontId="0" fillId="68" borderId="0" xfId="0" applyNumberFormat="1" applyFont="1" applyFill="1" applyBorder="1"/>
    <x:xf numFmtId="0" fontId="20" fillId="68" borderId="0" xfId="0" applyNumberFormat="1" applyFont="1" applyFill="1" applyBorder="1"/>
    <x:xf numFmtId="0" fontId="20" fillId="68" borderId="0" xfId="0" applyNumberFormat="1" applyFont="1" applyFill="1" applyBorder="1" applyAlignment="1">
      <x:alignment wrapText="1"/>
    </x:xf>
    <x:xf numFmtId="0" fontId="20" fillId="68" borderId="0" xfId="0" applyNumberFormat="1" applyFont="1" applyFill="1" applyBorder="1" applyAlignment="1">
      <x:alignment vertical="center" wrapText="1"/>
    </x:xf>
    <x:xf numFmtId="0" fontId="0" fillId="64" borderId="0" xfId="0" applyNumberFormat="1" applyFont="1" applyFill="1" applyBorder="1"/>
    <x:xf numFmtId="0" fontId="3" fillId="64" borderId="0" xfId="0" applyNumberFormat="1" applyFont="1" applyFill="1" applyBorder="1"/>
    <x:xf numFmtId="0" fontId="3" fillId="64" borderId="9" xfId="0" applyNumberFormat="1" applyFont="1" applyFill="1" applyBorder="1"/>
    <x:xf numFmtId="0" fontId="3" fillId="64" borderId="9" xfId="0" applyNumberFormat="1" applyFont="1" applyFill="1" applyBorder="1" applyAlignment="1">
      <x:alignment wrapText="1"/>
    </x:xf>
    <x:xf numFmtId="0" fontId="3" fillId="64" borderId="9" xfId="0" applyNumberFormat="1" applyFont="1" applyFill="1" applyBorder="1" applyAlignment="1">
      <x:alignment horizontal="center" wrapText="1"/>
    </x:xf>
    <x:xf numFmtId="0" fontId="3" fillId="64" borderId="9" xfId="0" applyNumberFormat="1" applyFont="1" applyFill="1" applyBorder="1" applyAlignment="1">
      <x:alignment horizontal="center" vertical="center" wrapText="1"/>
    </x:xf>
    <x:xf numFmtId="0" fontId="7" fillId="71" borderId="10" xfId="0" applyNumberFormat="1" applyFont="1" applyFill="1" applyBorder="1" applyAlignment="1">
      <x:alignment vertical="center" wrapText="1"/>
    </x:xf>
    <x:xf numFmtId="0" fontId="7" fillId="71" borderId="10" xfId="0" applyNumberFormat="1" applyFont="1" applyFill="1" applyBorder="1" applyAlignment="1">
      <x:alignment horizontal="center" vertical="center" wrapText="1"/>
    </x:xf>
    <x:xf numFmtId="0" fontId="1" fillId="72" borderId="0" xfId="0" applyNumberFormat="1" applyFont="1" applyFill="1" applyBorder="1" applyAlignment="1">
      <x:alignment vertical="center"/>
    </x:xf>
    <x:xf numFmtId="0" fontId="2" fillId="72" borderId="0" xfId="0" applyNumberFormat="1" applyFont="1" applyFill="1" applyBorder="1" applyAlignment="1">
      <x:alignment vertical="center" wrapText="1"/>
    </x:xf>
    <x:xf numFmtId="0" fontId="0" fillId="72" borderId="0" xfId="0" applyNumberFormat="1" applyFont="1" applyFill="1" applyBorder="1"/>
    <x:xf numFmtId="0" fontId="8" fillId="72" borderId="5" xfId="0" applyNumberFormat="1" applyFont="1" applyFill="1" applyBorder="1" applyAlignment="1">
      <x:alignment horizontal="center" vertical="center" wrapText="1"/>
    </x:xf>
    <x:xf numFmtId="0" fontId="7" fillId="72" borderId="6" xfId="0" applyNumberFormat="1" applyFont="1" applyFill="1" applyBorder="1" applyAlignment="1">
      <x:alignment horizontal="center" vertical="center" wrapText="1"/>
    </x:xf>
    <x:xf numFmtId="0" fontId="8" fillId="72" borderId="6" xfId="0" applyNumberFormat="1" applyFont="1" applyFill="1" applyBorder="1" applyAlignment="1">
      <x:alignment horizontal="center" vertical="center" wrapText="1"/>
    </x:xf>
    <x:xf numFmtId="0" fontId="7" fillId="72" borderId="7" xfId="0" applyNumberFormat="1" applyFont="1" applyFill="1" applyBorder="1" applyAlignment="1">
      <x:alignment horizontal="center" vertical="center" wrapText="1"/>
    </x:xf>
    <x:xf numFmtId="0" fontId="9" fillId="72" borderId="0" xfId="0" applyNumberFormat="1" applyFont="1" applyFill="1" applyBorder="1" applyAlignment="1">
      <x:alignment vertical="center"/>
    </x:xf>
    <x:xf numFmtId="0" fontId="10" fillId="72" borderId="5" xfId="0" applyNumberFormat="1" applyFont="1" applyFill="1" applyBorder="1" applyAlignment="1">
      <x:alignment horizontal="center" vertical="center"/>
    </x:xf>
    <x:xf numFmtId="0" fontId="10" fillId="72" borderId="7" xfId="0" applyNumberFormat="1" applyFont="1" applyFill="1" applyBorder="1" applyAlignment="1">
      <x:alignment horizontal="center" vertical="center"/>
    </x:xf>
    <x:xf numFmtId="0" fontId="11" fillId="72" borderId="5" xfId="0" applyNumberFormat="1" applyFont="1" applyFill="1" applyBorder="1" applyAlignment="1">
      <x:alignment horizontal="center" vertical="center"/>
    </x:xf>
    <x:xf numFmtId="0" fontId="11" fillId="72" borderId="7" xfId="0" applyNumberFormat="1" applyFont="1" applyFill="1" applyBorder="1" applyAlignment="1">
      <x:alignment horizontal="center" vertical="center"/>
    </x:xf>
    <x:xf numFmtId="0" fontId="12" fillId="72" borderId="5" xfId="0" applyNumberFormat="1" applyFont="1" applyFill="1" applyBorder="1" applyAlignment="1">
      <x:alignment horizontal="center" vertical="center"/>
    </x:xf>
    <x:xf numFmtId="0" fontId="12" fillId="72" borderId="7" xfId="0" applyNumberFormat="1" applyFont="1" applyFill="1" applyBorder="1" applyAlignment="1">
      <x:alignment horizontal="center" vertical="center"/>
    </x:xf>
    <x:xf numFmtId="0" fontId="13" fillId="72" borderId="5" xfId="0" applyNumberFormat="1" applyFont="1" applyFill="1" applyBorder="1" applyAlignment="1">
      <x:alignment horizontal="center" vertical="center"/>
    </x:xf>
    <x:xf numFmtId="0" fontId="13" fillId="72" borderId="7" xfId="0" applyNumberFormat="1" applyFont="1" applyFill="1" applyBorder="1" applyAlignment="1">
      <x:alignment horizontal="center" vertical="center"/>
    </x:xf>
    <x:xf numFmtId="0" fontId="15" fillId="72" borderId="8" xfId="0" applyNumberFormat="1" applyFont="1" applyFill="1" applyBorder="1" applyAlignment="1">
      <x:alignment vertical="center" wrapText="1"/>
    </x:xf>
    <x:xf numFmtId="0" fontId="15" fillId="72" borderId="8" xfId="0" applyNumberFormat="1" applyFont="1" applyFill="1" applyBorder="1" applyAlignment="1">
      <x:alignment horizontal="center" vertical="center" wrapText="1"/>
    </x:xf>
    <x:xf numFmtId="201" fontId="15" fillId="72" borderId="8" xfId="0" applyNumberFormat="1" applyFont="1" applyFill="1" applyBorder="1" applyAlignment="1">
      <x:alignment horizontal="center" vertical="center" wrapText="1"/>
    </x:xf>
    <x:xf numFmtId="0" fontId="16" fillId="72" borderId="8" xfId="0" applyNumberFormat="1" applyFont="1" applyFill="1" applyBorder="1" applyAlignment="1">
      <x:alignment vertical="center" wrapText="1"/>
    </x:xf>
    <x:xf numFmtId="0" fontId="16" fillId="72" borderId="8" xfId="0" applyNumberFormat="1" applyFont="1" applyFill="1" applyBorder="1" applyAlignment="1">
      <x:alignment horizontal="center" vertical="center" wrapText="1"/>
    </x:xf>
    <x:xf numFmtId="201" fontId="16" fillId="72" borderId="8" xfId="0" applyNumberFormat="1" applyFont="1" applyFill="1" applyBorder="1" applyAlignment="1">
      <x:alignment horizontal="center" vertical="center" wrapText="1"/>
    </x:xf>
    <x:xf numFmtId="0" fontId="19" fillId="72" borderId="8" xfId="0" applyNumberFormat="1" applyFont="1" applyFill="1" applyBorder="1" applyAlignment="1">
      <x:alignment vertical="center" wrapText="1"/>
    </x:xf>
    <x:xf numFmtId="0" fontId="19" fillId="72" borderId="8" xfId="0" applyNumberFormat="1" applyFont="1" applyFill="1" applyBorder="1" applyAlignment="1">
      <x:alignment horizontal="center" vertical="center" wrapText="1"/>
    </x:xf>
    <x:xf numFmtId="201" fontId="19" fillId="72" borderId="8" xfId="0" applyNumberFormat="1" applyFont="1" applyFill="1" applyBorder="1" applyAlignment="1">
      <x:alignment horizontal="center" vertical="center" wrapText="1"/>
    </x:xf>
    <x:xf numFmtId="0" fontId="17" fillId="72" borderId="8" xfId="0" applyNumberFormat="1" applyFont="1" applyFill="1" applyBorder="1" applyAlignment="1">
      <x:alignment vertical="center" wrapText="1"/>
    </x:xf>
    <x:xf numFmtId="0" fontId="17" fillId="72" borderId="8" xfId="0" applyNumberFormat="1" applyFont="1" applyFill="1" applyBorder="1" applyAlignment="1">
      <x:alignment horizontal="center" vertical="center" wrapText="1"/>
    </x:xf>
    <x:xf numFmtId="201" fontId="17" fillId="72" borderId="8" xfId="0" applyNumberFormat="1" applyFont="1" applyFill="1" applyBorder="1" applyAlignment="1">
      <x:alignment horizontal="center" vertical="center" wrapText="1"/>
    </x:xf>
    <x:xf numFmtId="0" fontId="18" fillId="72" borderId="8" xfId="0" applyNumberFormat="1" applyFont="1" applyFill="1" applyBorder="1" applyAlignment="1">
      <x:alignment vertical="center" wrapText="1"/>
    </x:xf>
    <x:xf numFmtId="0" fontId="18" fillId="72" borderId="8" xfId="0" applyNumberFormat="1" applyFont="1" applyFill="1" applyBorder="1" applyAlignment="1">
      <x:alignment horizontal="center" vertical="center" wrapText="1"/>
    </x:xf>
    <x:xf numFmtId="201" fontId="18" fillId="72" borderId="8" xfId="0" applyNumberFormat="1" applyFont="1" applyFill="1" applyBorder="1" applyAlignment="1">
      <x:alignment horizontal="center" vertical="center" wrapText="1"/>
    </x:xf>
    <x:xf numFmtId="0" fontId="7" fillId="72" borderId="8" xfId="0" applyNumberFormat="1" applyFont="1" applyFill="1" applyBorder="1" applyAlignment="1">
      <x:alignment vertical="center" wrapText="1"/>
    </x:xf>
    <x:xf numFmtId="0" fontId="7" fillId="72" borderId="8" xfId="0" applyNumberFormat="1" applyFont="1" applyFill="1" applyBorder="1" applyAlignment="1">
      <x:alignment horizontal="center" vertical="center" wrapText="1"/>
    </x:xf>
    <x:xf numFmtId="201" fontId="7" fillId="72" borderId="8" xfId="0" applyNumberFormat="1" applyFont="1" applyFill="1" applyBorder="1" applyAlignment="1">
      <x:alignment horizontal="center" vertical="center" wrapText="1"/>
    </x:xf>
    <x:xf numFmtId="0" fontId="3" fillId="72" borderId="1" xfId="0" applyNumberFormat="1" applyFont="1" applyFill="1" applyBorder="1" applyAlignment="1">
      <x:alignment horizontal="center" vertical="center" wrapText="1"/>
    </x:xf>
    <x:xf numFmtId="0" fontId="7" fillId="72" borderId="2" xfId="0" applyNumberFormat="1" applyFont="1" applyFill="1" applyBorder="1" applyAlignment="1">
      <x:alignment vertical="center" wrapText="1"/>
    </x:xf>
    <x:xf numFmtId="0" fontId="14" fillId="72" borderId="8" xfId="0" applyNumberFormat="1" applyFont="1" applyFill="1" applyBorder="1" applyAlignment="1">
      <x:alignment horizontal="center" vertical="center" wrapText="1"/>
    </x:xf>
    <x:xf numFmtId="0" fontId="6" fillId="72" borderId="8" xfId="0" applyNumberFormat="1" applyFont="1" applyFill="1" applyBorder="1" applyAlignment="1">
      <x:alignment vertical="center" wrapText="1"/>
    </x:xf>
    <x:xf numFmtId="0" fontId="39" fillId="72" borderId="0" xfId="0" applyNumberFormat="1" applyFont="1" applyFill="1" applyBorder="1" applyAlignment="1">
      <x:alignment vertical="center"/>
    </x:xf>
    <x:xf numFmtId="0" fontId="40" fillId="72" borderId="0" xfId="0" applyNumberFormat="1" applyFont="1" applyFill="1" applyBorder="1" applyAlignment="1">
      <x:alignment vertical="center" wrapText="1"/>
    </x:xf>
    <x:xf numFmtId="0" fontId="41" fillId="72" borderId="0" xfId="0" applyNumberFormat="1" applyFont="1" applyFill="1" applyBorder="1"/>
    <x:xf numFmtId="0" fontId="42" fillId="72" borderId="5" xfId="0" applyNumberFormat="1" applyFont="1" applyFill="1" applyBorder="1" applyAlignment="1">
      <x:alignment horizontal="center" vertical="center" wrapText="1"/>
    </x:xf>
    <x:xf numFmtId="0" fontId="40" fillId="72" borderId="6" xfId="0" applyNumberFormat="1" applyFont="1" applyFill="1" applyBorder="1" applyAlignment="1">
      <x:alignment horizontal="center" vertical="center" wrapText="1"/>
    </x:xf>
    <x:xf numFmtId="0" fontId="42" fillId="72" borderId="6" xfId="0" applyNumberFormat="1" applyFont="1" applyFill="1" applyBorder="1" applyAlignment="1">
      <x:alignment horizontal="center" vertical="center" wrapText="1"/>
    </x:xf>
    <x:xf numFmtId="0" fontId="40" fillId="72" borderId="7" xfId="0" applyNumberFormat="1" applyFont="1" applyFill="1" applyBorder="1" applyAlignment="1">
      <x:alignment horizontal="center" vertical="center" wrapText="1"/>
    </x:xf>
    <x:xf numFmtId="0" fontId="43" fillId="72" borderId="0" xfId="0" applyNumberFormat="1" applyFont="1" applyFill="1" applyBorder="1" applyAlignment="1">
      <x:alignment vertical="center"/>
    </x:xf>
    <x:xf numFmtId="0" fontId="44" fillId="72" borderId="5" xfId="0" applyNumberFormat="1" applyFont="1" applyFill="1" applyBorder="1" applyAlignment="1">
      <x:alignment horizontal="center" vertical="center"/>
    </x:xf>
    <x:xf numFmtId="0" fontId="44" fillId="72" borderId="7" xfId="0" applyNumberFormat="1" applyFont="1" applyFill="1" applyBorder="1" applyAlignment="1">
      <x:alignment horizontal="center" vertical="center"/>
    </x:xf>
    <x:xf numFmtId="0" fontId="40" fillId="72" borderId="8" xfId="0" applyNumberFormat="1" applyFont="1" applyFill="1" applyBorder="1" applyAlignment="1">
      <x:alignment vertical="center" wrapText="1"/>
    </x:xf>
    <x:xf numFmtId="0" fontId="40" fillId="72" borderId="8" xfId="0" applyNumberFormat="1" applyFont="1" applyFill="1" applyBorder="1" applyAlignment="1">
      <x:alignment horizontal="center" vertical="center" wrapText="1"/>
    </x:xf>
    <x:xf numFmtId="201" fontId="40" fillId="72" borderId="8" xfId="0" applyNumberFormat="1" applyFont="1" applyFill="1" applyBorder="1" applyAlignment="1">
      <x:alignment horizontal="center" vertical="center" wrapText="1"/>
    </x:xf>
    <x:xf numFmtId="0" fontId="42" fillId="72" borderId="8" xfId="0" applyNumberFormat="1" applyFont="1" applyFill="1" applyBorder="1" applyAlignment="1">
      <x:alignment vertical="center" wrapText="1"/>
    </x:xf>
    <x:xf numFmtId="0" fontId="42" fillId="72" borderId="8" xfId="0" applyNumberFormat="1" applyFont="1" applyFill="1" applyBorder="1" applyAlignment="1">
      <x:alignment horizontal="center" vertical="center" wrapText="1"/>
    </x:xf>
    <x:xf numFmtId="201" fontId="42" fillId="72" borderId="8" xfId="0" applyNumberFormat="1" applyFont="1" applyFill="1" applyBorder="1" applyAlignment="1">
      <x:alignment horizontal="center" vertical="center" wrapText="1"/>
    </x:xf>
    <x:xf numFmtId="0" fontId="42" fillId="72" borderId="1" xfId="0" applyNumberFormat="1" applyFont="1" applyFill="1" applyBorder="1" applyAlignment="1">
      <x:alignment horizontal="center" vertical="center" wrapText="1"/>
    </x:xf>
    <x:xf numFmtId="0" fontId="40" fillId="72" borderId="2" xfId="0" applyNumberFormat="1" applyFont="1" applyFill="1" applyBorder="1" applyAlignment="1">
      <x:alignment vertical="center" wrapText="1"/>
    </x:xf>
    <x:xf numFmtId="0" fontId="45" fillId="72" borderId="8" xfId="0" applyNumberFormat="1" applyFont="1" applyFill="1" applyBorder="1" applyAlignment="1">
      <x:alignment vertical="center" wrapText="1"/>
    </x:xf>
    <x:xf numFmtId="0" fontId="39" fillId="72" borderId="11" xfId="0" applyNumberFormat="1" applyFont="1" applyFill="1" applyBorder="1" applyAlignment="1">
      <x:alignment vertical="center"/>
    </x:xf>
    <x:xf numFmtId="0" fontId="39" fillId="72" borderId="12" xfId="0" applyNumberFormat="1" applyFont="1" applyFill="1" applyBorder="1" applyAlignment="1">
      <x:alignment vertical="center"/>
    </x:xf>
    <x:xf numFmtId="0" fontId="39" fillId="72" borderId="13" xfId="0" applyNumberFormat="1" applyFont="1" applyFill="1" applyBorder="1" applyAlignment="1">
      <x:alignment vertical="center"/>
    </x:xf>
    <x:xf numFmtId="0" fontId="40" fillId="72" borderId="14" xfId="0" applyNumberFormat="1" applyFont="1" applyFill="1" applyBorder="1" applyAlignment="1">
      <x:alignment vertical="center" wrapText="1"/>
    </x:xf>
    <x:xf numFmtId="0" fontId="40" fillId="72" xfId="0" applyNumberFormat="1" applyFont="1" applyFill="1" applyBorder="0" applyAlignment="1">
      <x:alignment vertical="center" wrapText="1"/>
    </x:xf>
    <x:xf numFmtId="0" fontId="40" fillId="72" borderId="15" xfId="0" applyNumberFormat="1" applyFont="1" applyFill="1" applyBorder="1" applyAlignment="1">
      <x:alignment vertical="center" wrapText="1"/>
    </x:xf>
    <x:xf numFmtId="0" fontId="41" fillId="72" borderId="14" xfId="0" applyNumberFormat="1" applyFont="1" applyFill="1" applyBorder="1"/>
    <x:xf numFmtId="0" fontId="41" fillId="72" xfId="0" applyNumberFormat="1" applyFont="1" applyFill="1" applyBorder="0"/>
    <x:xf numFmtId="0" fontId="41" fillId="72" borderId="15" xfId="0" applyNumberFormat="1" applyFont="1" applyFill="1" applyBorder="1"/>
    <x:xf numFmtId="0" fontId="42" fillId="72" borderId="16" xfId="0" applyNumberFormat="1" applyFont="1" applyFill="1" applyBorder="1" applyAlignment="1">
      <x:alignment horizontal="center" vertical="center" wrapText="1"/>
    </x:xf>
    <x:xf numFmtId="0" fontId="40" fillId="72" borderId="17" xfId="0" applyNumberFormat="1" applyFont="1" applyFill="1" applyBorder="1" applyAlignment="1">
      <x:alignment horizontal="center" vertical="center" wrapText="1"/>
    </x:xf>
    <x:xf numFmtId="0" fontId="42" fillId="72" borderId="17" xfId="0" applyNumberFormat="1" applyFont="1" applyFill="1" applyBorder="1" applyAlignment="1">
      <x:alignment horizontal="center" vertical="center" wrapText="1"/>
    </x:xf>
    <x:xf numFmtId="0" fontId="40" fillId="72" borderId="18" xfId="0" applyNumberFormat="1" applyFont="1" applyFill="1" applyBorder="1" applyAlignment="1">
      <x:alignment horizontal="center" vertical="center" wrapText="1"/>
    </x:xf>
    <x:xf numFmtId="0" fontId="43" fillId="72" borderId="14" xfId="0" applyNumberFormat="1" applyFont="1" applyFill="1" applyBorder="1" applyAlignment="1">
      <x:alignment vertical="center"/>
    </x:xf>
    <x:xf numFmtId="0" fontId="43" fillId="72" xfId="0" applyNumberFormat="1" applyFont="1" applyFill="1" applyBorder="0" applyAlignment="1">
      <x:alignment vertical="center"/>
    </x:xf>
    <x:xf numFmtId="0" fontId="43" fillId="72" borderId="15" xfId="0" applyNumberFormat="1" applyFont="1" applyFill="1" applyBorder="1" applyAlignment="1">
      <x:alignment vertical="center"/>
    </x:xf>
    <x:xf numFmtId="0" fontId="44" fillId="72" borderId="16" xfId="0" applyNumberFormat="1" applyFont="1" applyFill="1" applyBorder="1" applyAlignment="1">
      <x:alignment horizontal="center" vertical="center"/>
    </x:xf>
    <x:xf numFmtId="0" fontId="44" fillId="72" borderId="19" xfId="0" applyNumberFormat="1" applyFont="1" applyFill="1" applyBorder="1" applyAlignment="1">
      <x:alignment horizontal="center" vertical="center"/>
    </x:xf>
    <x:xf numFmtId="0" fontId="44" fillId="72" borderId="20" xfId="0" applyNumberFormat="1" applyFont="1" applyFill="1" applyBorder="1" applyAlignment="1">
      <x:alignment horizontal="center" vertical="center"/>
    </x:xf>
    <x:xf numFmtId="0" fontId="44" fillId="72" borderId="18" xfId="0" applyNumberFormat="1" applyFont="1" applyFill="1" applyBorder="1" applyAlignment="1">
      <x:alignment horizontal="center" vertical="center"/>
    </x:xf>
    <x:xf numFmtId="0" fontId="40" fillId="72" borderId="21" xfId="0" applyNumberFormat="1" applyFont="1" applyFill="1" applyBorder="1" applyAlignment="1">
      <x:alignment vertical="center" wrapText="1"/>
    </x:xf>
    <x:xf numFmtId="0" fontId="40" fillId="72" borderId="22" xfId="0" applyNumberFormat="1" applyFont="1" applyFill="1" applyBorder="1" applyAlignment="1">
      <x:alignment horizontal="center" vertical="center" wrapText="1"/>
    </x:xf>
    <x:xf numFmtId="201" fontId="40" fillId="72" borderId="22" xfId="0" applyNumberFormat="1" applyFont="1" applyFill="1" applyBorder="1" applyAlignment="1">
      <x:alignment horizontal="center" vertical="center" wrapText="1"/>
    </x:xf>
    <x:xf numFmtId="0" fontId="40" fillId="72" borderId="22" xfId="0" applyNumberFormat="1" applyFont="1" applyFill="1" applyBorder="1" applyAlignment="1">
      <x:alignment vertical="center" wrapText="1"/>
    </x:xf>
    <x:xf numFmtId="0" fontId="40" fillId="72" borderId="23" xfId="0" applyNumberFormat="1" applyFont="1" applyFill="1" applyBorder="1" applyAlignment="1">
      <x:alignment vertical="center" wrapText="1"/>
    </x:xf>
    <x:xf numFmtId="0" fontId="42" fillId="72" borderId="21" xfId="0" applyNumberFormat="1" applyFont="1" applyFill="1" applyBorder="1" applyAlignment="1">
      <x:alignment vertical="center" wrapText="1"/>
    </x:xf>
    <x:xf numFmtId="0" fontId="42" fillId="72" borderId="22" xfId="0" applyNumberFormat="1" applyFont="1" applyFill="1" applyBorder="1" applyAlignment="1">
      <x:alignment horizontal="center" vertical="center" wrapText="1"/>
    </x:xf>
    <x:xf numFmtId="201" fontId="42" fillId="72" borderId="22" xfId="0" applyNumberFormat="1" applyFont="1" applyFill="1" applyBorder="1" applyAlignment="1">
      <x:alignment horizontal="center" vertical="center" wrapText="1"/>
    </x:xf>
    <x:xf numFmtId="0" fontId="42" fillId="72" borderId="22" xfId="0" applyNumberFormat="1" applyFont="1" applyFill="1" applyBorder="1" applyAlignment="1">
      <x:alignment vertical="center" wrapText="1"/>
    </x:xf>
    <x:xf numFmtId="0" fontId="42" fillId="72" borderId="23" xfId="0" applyNumberFormat="1" applyFont="1" applyFill="1" applyBorder="1" applyAlignment="1">
      <x:alignment vertical="center" wrapText="1"/>
    </x:xf>
    <x:xf numFmtId="0" fontId="42" fillId="72" borderId="24" xfId="0" applyNumberFormat="1" applyFont="1" applyFill="1" applyBorder="1" applyAlignment="1">
      <x:alignment horizontal="center" vertical="center" wrapText="1"/>
    </x:xf>
    <x:xf numFmtId="0" fontId="42" fillId="72" borderId="25" xfId="0" applyNumberFormat="1" applyFont="1" applyFill="1" applyBorder="1" applyAlignment="1">
      <x:alignment horizontal="center" vertical="center" wrapText="1"/>
    </x:xf>
    <x:xf numFmtId="0" fontId="42" fillId="72" borderId="26" xfId="0" applyNumberFormat="1" applyFont="1" applyFill="1" applyBorder="1" applyAlignment="1">
      <x:alignment horizontal="center" vertical="center" wrapText="1"/>
    </x:xf>
    <x:xf numFmtId="0" fontId="40" fillId="72" borderId="23" xfId="0" applyNumberFormat="1" applyFont="1" applyFill="1" applyBorder="1" applyAlignment="1">
      <x:alignment horizontal="center" vertical="center" wrapText="1"/>
    </x:xf>
    <x:xf numFmtId="0" fontId="40" fillId="72" borderId="27" xfId="0" applyNumberFormat="1" applyFont="1" applyFill="1" applyBorder="1" applyAlignment="1">
      <x:alignment vertical="center" wrapText="1"/>
    </x:xf>
    <x:xf numFmtId="0" fontId="40" fillId="72" borderId="28" xfId="0" applyNumberFormat="1" applyFont="1" applyFill="1" applyBorder="1" applyAlignment="1">
      <x:alignment vertical="center" wrapText="1"/>
    </x:xf>
    <x:xf numFmtId="0" fontId="40" fillId="72" borderId="29" xfId="0" applyNumberFormat="1" applyFont="1" applyFill="1" applyBorder="1" applyAlignment="1">
      <x:alignment vertical="center" wrapText="1"/>
    </x:xf>
    <x:xf numFmtId="0" fontId="42" fillId="72" borderId="21" xfId="0" applyNumberFormat="1" applyFont="1" applyFill="1" applyBorder="1" applyAlignment="1">
      <x:alignment horizontal="center" vertical="center" wrapText="1"/>
    </x:xf>
    <x:xf numFmtId="0" fontId="45" fillId="72" borderId="22" xfId="0" applyNumberFormat="1" applyFont="1" applyFill="1" applyBorder="1" applyAlignment="1">
      <x:alignment vertical="center" wrapText="1"/>
    </x:xf>
    <x:xf numFmtId="0" fontId="45" fillId="72" borderId="23" xfId="0" applyNumberFormat="1" applyFont="1" applyFill="1" applyBorder="1" applyAlignment="1">
      <x:alignment vertical="center" wrapText="1"/>
    </x:xf>
    <x:xf numFmtId="0" fontId="42" fillId="72" borderId="30" xfId="0" applyNumberFormat="1" applyFont="1" applyFill="1" applyBorder="1" applyAlignment="1">
      <x:alignment horizontal="center" vertical="center" wrapText="1"/>
    </x:xf>
    <x:xf numFmtId="0" fontId="42" fillId="72" borderId="31" xfId="0" applyNumberFormat="1" applyFont="1" applyFill="1" applyBorder="1" applyAlignment="1">
      <x:alignment horizontal="center" vertical="center" wrapText="1"/>
    </x:xf>
    <x:xf numFmtId="0" fontId="40" fillId="72" borderId="31" xfId="0" applyNumberFormat="1" applyFont="1" applyFill="1" applyBorder="1" applyAlignment="1">
      <x:alignment vertical="center" wrapText="1"/>
    </x:xf>
    <x:xf numFmtId="0" fontId="40" fillId="72" borderId="32" xfId="0" applyNumberFormat="1" applyFont="1" applyFill="1" applyBorder="1" applyAlignment="1">
      <x:alignment vertical="center" wrapText="1"/>
    </x:xf>
    <x:xf numFmtId="0" fontId="46" fillId="72" borderId="11" xfId="0" applyNumberFormat="1" applyFont="1" applyFill="1" applyBorder="1" applyAlignment="1">
      <x:alignment vertical="center"/>
    </x:xf>
    <x:xf numFmtId="0" fontId="46" fillId="72" borderId="12" xfId="0" applyNumberFormat="1" applyFont="1" applyFill="1" applyBorder="1" applyAlignment="1">
      <x:alignment vertical="center"/>
    </x:xf>
    <x:xf numFmtId="0" fontId="46" fillId="72" borderId="13" xfId="0" applyNumberFormat="1" applyFont="1" applyFill="1" applyBorder="1" applyAlignment="1">
      <x:alignment vertical="center"/>
    </x:xf>
    <x:xf numFmtId="0" fontId="47" fillId="72" borderId="14" xfId="0" applyNumberFormat="1" applyFont="1" applyFill="1" applyBorder="1" applyAlignment="1">
      <x:alignment vertical="center" wrapText="1"/>
    </x:xf>
    <x:xf numFmtId="0" fontId="47" fillId="72" xfId="0" applyNumberFormat="1" applyFont="1" applyFill="1" applyBorder="0" applyAlignment="1">
      <x:alignment vertical="center" wrapText="1"/>
    </x:xf>
    <x:xf numFmtId="0" fontId="47" fillId="72" borderId="15" xfId="0" applyNumberFormat="1" applyFont="1" applyFill="1" applyBorder="1" applyAlignment="1">
      <x:alignment vertical="center" wrapText="1"/>
    </x:xf>
    <x:xf numFmtId="0" fontId="47" fillId="72" borderId="33" xfId="0" applyNumberFormat="1" applyFont="1" applyFill="1" applyBorder="1" applyAlignment="1">
      <x:alignment vertical="center" wrapText="1"/>
    </x:xf>
    <x:xf numFmtId="0" fontId="47" fillId="72" borderId="34" xfId="0" applyNumberFormat="1" applyFont="1" applyFill="1" applyBorder="1" applyAlignment="1">
      <x:alignment vertical="center" wrapText="1"/>
    </x:xf>
    <x:xf numFmtId="0" fontId="47" fillId="72" borderId="35" xfId="0" applyNumberFormat="1" applyFont="1" applyFill="1" applyBorder="1" applyAlignment="1">
      <x:alignment vertical="center" wrapText="1"/>
    </x:xf>
    <x:xf numFmtId="0" fontId="42" fillId="72" borderId="36" xfId="0" applyNumberFormat="1" applyFont="1" applyFill="1" applyBorder="1" applyAlignment="1">
      <x:alignment horizontal="center" vertical="center" wrapText="1"/>
    </x:xf>
    <x:xf numFmtId="0" fontId="40" fillId="72" borderId="37" xfId="0" applyNumberFormat="1" applyFont="1" applyFill="1" applyBorder="1" applyAlignment="1">
      <x:alignment horizontal="center" vertical="center" wrapText="1"/>
    </x:xf>
    <x:xf numFmtId="0" fontId="42" fillId="72" borderId="37" xfId="0" applyNumberFormat="1" applyFont="1" applyFill="1" applyBorder="1" applyAlignment="1">
      <x:alignment horizontal="center" vertical="center" wrapText="1"/>
    </x:xf>
    <x:xf numFmtId="0" fontId="40" fillId="72" borderId="38" xfId="0" applyNumberFormat="1" applyFont="1" applyFill="1" applyBorder="1" applyAlignment="1">
      <x:alignment horizontal="center" vertical="center" wrapText="1"/>
    </x:xf>
    <x:xf numFmtId="0" fontId="48" fillId="72" borderId="14" xfId="0" applyNumberFormat="1" applyFont="1" applyFill="1" applyBorder="1" applyAlignment="1">
      <x:alignment vertical="center"/>
    </x:xf>
    <x:xf numFmtId="0" fontId="48" fillId="72" xfId="0" applyNumberFormat="1" applyFont="1" applyFill="1" applyBorder="0" applyAlignment="1">
      <x:alignment vertical="center"/>
    </x:xf>
    <x:xf numFmtId="0" fontId="48" fillId="72" borderId="15" xfId="0" applyNumberFormat="1" applyFont="1" applyFill="1" applyBorder="1" applyAlignment="1">
      <x:alignment vertical="center"/>
    </x:xf>
    <x:xf numFmtId="0" fontId="48" fillId="72" borderId="39" xfId="0" applyNumberFormat="1" applyFont="1" applyFill="1" applyBorder="1" applyAlignment="1">
      <x:alignment vertical="center"/>
    </x:xf>
    <x:xf numFmtId="0" fontId="48" fillId="72" borderId="40" xfId="0" applyNumberFormat="1" applyFont="1" applyFill="1" applyBorder="1" applyAlignment="1">
      <x:alignment vertical="center"/>
    </x:xf>
    <x:xf numFmtId="0" fontId="48" fillId="72" borderId="41" xfId="0" applyNumberFormat="1" applyFont="1" applyFill="1" applyBorder="1" applyAlignment="1">
      <x:alignment vertical="center"/>
    </x:xf>
    <x:xf numFmtId="0" fontId="48" fillId="72" borderId="42" xfId="0" applyNumberFormat="1" applyFont="1" applyFill="1" applyBorder="1" applyAlignment="1">
      <x:alignment vertical="center"/>
    </x:xf>
    <x:xf numFmtId="0" fontId="44" fillId="72" borderId="36" xfId="0" applyNumberFormat="1" applyFont="1" applyFill="1" applyBorder="1" applyAlignment="1">
      <x:alignment horizontal="center" vertical="center"/>
    </x:xf>
    <x:xf numFmtId="0" fontId="44" fillId="72" borderId="43" xfId="0" applyNumberFormat="1" applyFont="1" applyFill="1" applyBorder="1" applyAlignment="1">
      <x:alignment horizontal="center" vertical="center"/>
    </x:xf>
    <x:xf numFmtId="0" fontId="44" fillId="72" borderId="44" xfId="0" applyNumberFormat="1" applyFont="1" applyFill="1" applyBorder="1" applyAlignment="1">
      <x:alignment horizontal="center" vertical="center"/>
    </x:xf>
    <x:xf numFmtId="0" fontId="44" fillId="72" borderId="38" xfId="0" applyNumberFormat="1" applyFont="1" applyFill="1" applyBorder="1" applyAlignment="1">
      <x:alignment horizontal="center" vertical="center"/>
    </x:xf>
    <x:xf numFmtId="0" fontId="40" fillId="72" borderId="45" xfId="0" applyNumberFormat="1" applyFont="1" applyFill="1" applyBorder="1" applyAlignment="1">
      <x:alignment vertical="center" wrapText="1"/>
    </x:xf>
    <x:xf numFmtId="0" fontId="40" fillId="72" borderId="46" xfId="0" applyNumberFormat="1" applyFont="1" applyFill="1" applyBorder="1" applyAlignment="1">
      <x:alignment horizontal="center" vertical="center" wrapText="1"/>
    </x:xf>
    <x:xf numFmtId="201" fontId="40" fillId="72" borderId="46" xfId="0" applyNumberFormat="1" applyFont="1" applyFill="1" applyBorder="1" applyAlignment="1">
      <x:alignment horizontal="center" vertical="center" wrapText="1"/>
    </x:xf>
    <x:xf numFmtId="0" fontId="40" fillId="72" borderId="46" xfId="0" applyNumberFormat="1" applyFont="1" applyFill="1" applyBorder="1" applyAlignment="1">
      <x:alignment vertical="center" wrapText="1"/>
    </x:xf>
    <x:xf numFmtId="0" fontId="40" fillId="72" borderId="47" xfId="0" applyNumberFormat="1" applyFont="1" applyFill="1" applyBorder="1" applyAlignment="1">
      <x:alignment vertical="center" wrapText="1"/>
    </x:xf>
    <x:xf numFmtId="0" fontId="40" fillId="72" borderId="48" xfId="0" applyNumberFormat="1" applyFont="1" applyFill="1" applyBorder="1" applyAlignment="1">
      <x:alignment horizontal="center" vertical="center" wrapText="1"/>
    </x:xf>
    <x:xf numFmtId="201" fontId="40" fillId="72" borderId="48" xfId="0" applyNumberFormat="1" applyFont="1" applyFill="1" applyBorder="1" applyAlignment="1">
      <x:alignment horizontal="center" vertical="center" wrapText="1"/>
    </x:xf>
    <x:xf numFmtId="0" fontId="40" fillId="72" borderId="48" xfId="0" applyNumberFormat="1" applyFont="1" applyFill="1" applyBorder="1" applyAlignment="1">
      <x:alignment vertical="center" wrapText="1"/>
    </x:xf>
    <x:xf numFmtId="0" fontId="42" fillId="72" borderId="47" xfId="0" applyNumberFormat="1" applyFont="1" applyFill="1" applyBorder="1" applyAlignment="1">
      <x:alignment vertical="center" wrapText="1"/>
    </x:xf>
    <x:xf numFmtId="0" fontId="42" fillId="72" borderId="48" xfId="0" applyNumberFormat="1" applyFont="1" applyFill="1" applyBorder="1" applyAlignment="1">
      <x:alignment horizontal="center" vertical="center" wrapText="1"/>
    </x:xf>
    <x:xf numFmtId="201" fontId="42" fillId="72" borderId="48" xfId="0" applyNumberFormat="1" applyFont="1" applyFill="1" applyBorder="1" applyAlignment="1">
      <x:alignment horizontal="center" vertical="center" wrapText="1"/>
    </x:xf>
    <x:xf numFmtId="0" fontId="42" fillId="72" borderId="48" xfId="0" applyNumberFormat="1" applyFont="1" applyFill="1" applyBorder="1" applyAlignment="1">
      <x:alignment vertical="center" wrapText="1"/>
    </x:xf>
    <x:xf numFmtId="0" fontId="42" fillId="72" borderId="49" xfId="0" applyNumberFormat="1" applyFont="1" applyFill="1" applyBorder="1" applyAlignment="1">
      <x:alignment horizontal="center" vertical="center" wrapText="1"/>
    </x:xf>
    <x:xf numFmtId="0" fontId="42" fillId="72" borderId="50" xfId="0" applyNumberFormat="1" applyFont="1" applyFill="1" applyBorder="1" applyAlignment="1">
      <x:alignment horizontal="center" vertical="center" wrapText="1"/>
    </x:xf>
    <x:xf numFmtId="0" fontId="40" fillId="72" borderId="33" xfId="0" applyNumberFormat="1" applyFont="1" applyFill="1" applyBorder="1" applyAlignment="1">
      <x:alignment vertical="center" wrapText="1"/>
    </x:xf>
    <x:xf numFmtId="0" fontId="40" fillId="72" borderId="34" xfId="0" applyNumberFormat="1" applyFont="1" applyFill="1" applyBorder="1" applyAlignment="1">
      <x:alignment vertical="center" wrapText="1"/>
    </x:xf>
    <x:xf numFmtId="0" fontId="40" fillId="72" borderId="35" xfId="0" applyNumberFormat="1" applyFont="1" applyFill="1" applyBorder="1" applyAlignment="1">
      <x:alignment vertical="center" wrapText="1"/>
    </x:xf>
    <x:xf numFmtId="0" fontId="40" fillId="72" borderId="51" xfId="0" applyNumberFormat="1" applyFont="1" applyFill="1" applyBorder="1" applyAlignment="1">
      <x:alignment vertical="center" wrapText="1"/>
    </x:xf>
    <x:xf numFmtId="0" fontId="40" fillId="72" borderId="52" xfId="0" applyNumberFormat="1" applyFont="1" applyFill="1" applyBorder="1" applyAlignment="1">
      <x:alignment vertical="center" wrapText="1"/>
    </x:xf>
    <x:xf numFmtId="0" fontId="40" fillId="72" borderId="53" xfId="0" applyNumberFormat="1" applyFont="1" applyFill="1" applyBorder="1" applyAlignment="1">
      <x:alignment vertical="center" wrapText="1"/>
    </x:xf>
    <x:xf numFmtId="0" fontId="42" fillId="72" borderId="45" xfId="0" applyNumberFormat="1" applyFont="1" applyFill="1" applyBorder="1" applyAlignment="1">
      <x:alignment horizontal="center" vertical="center" wrapText="1"/>
    </x:xf>
    <x:xf numFmtId="0" fontId="42" fillId="72" borderId="46" xfId="0" applyNumberFormat="1" applyFont="1" applyFill="1" applyBorder="1" applyAlignment="1">
      <x:alignment horizontal="center" vertical="center" wrapText="1"/>
    </x:xf>
    <x:xf numFmtId="0" fontId="42" fillId="72" borderId="47" xfId="0" applyNumberFormat="1" applyFont="1" applyFill="1" applyBorder="1" applyAlignment="1">
      <x:alignment horizontal="center" vertical="center" wrapText="1"/>
    </x:xf>
    <x:xf numFmtId="0" fontId="45" fillId="72" borderId="48" xfId="0" applyNumberFormat="1" applyFont="1" applyFill="1" applyBorder="1" applyAlignment="1">
      <x:alignment vertical="center" wrapText="1"/>
    </x:xf>
    <x:xf numFmtId="0" fontId="49" fillId="72" borderId="48" xfId="0" applyNumberFormat="1" applyFont="1" applyFill="1" applyBorder="1" applyAlignment="1">
      <x:alignment vertical="center" wrapText="1"/>
    </x:xf>
    <x:xf numFmtId="0" fontId="5" fillId="72" borderId="2" xfId="0" applyNumberFormat="1" applyFont="1" applyFill="1" applyBorder="1" applyAlignment="1">
      <x:alignment horizontal="center" vertical="top" wrapText="1"/>
    </x:xf>
    <x:xf numFmtId="0" fontId="5" fillId="72" borderId="2" xfId="0" applyNumberFormat="1" applyFont="1" applyFill="1" applyBorder="1" applyAlignment="1">
      <x:alignment horizontal="left" vertical="top" wrapText="1"/>
    </x:xf>
    <x:xf numFmtId="0" fontId="4" fillId="72" borderId="2" xfId="0" applyNumberFormat="1" applyFont="1" applyFill="1" applyBorder="1" applyAlignment="1">
      <x:alignment horizontal="left" vertical="top" wrapText="1"/>
    </x:xf>
    <x:xf numFmtId="0" fontId="4" fillId="72" borderId="2" xfId="0" applyNumberFormat="1" applyFont="1" applyFill="1" applyBorder="1" applyAlignment="1">
      <x:alignment horizontal="center" vertical="top" wrapText="1"/>
    </x:xf>
    <x:xf numFmtId="0" fontId="4" fillId="72" borderId="2" xfId="0" applyNumberFormat="1" applyFont="1" applyFill="1" applyBorder="1" applyAlignment="1">
      <x:alignment horizontal="center" vertical="center" wrapText="1"/>
    </x:xf>
    <x:xf numFmtId="0" fontId="4" fillId="72" borderId="2" xfId="0" applyNumberFormat="1" applyFont="1" applyFill="1" applyBorder="1" applyAlignment="1">
      <x:alignment horizontal="left" vertical="center" wrapText="1"/>
    </x:xf>
    <x:xf numFmtId="0" fontId="5" fillId="72" borderId="3" xfId="0" applyNumberFormat="1" applyFont="1" applyFill="1" applyBorder="1" applyAlignment="1">
      <x:alignment horizontal="center" vertical="top" wrapText="1"/>
    </x:xf>
    <x:xf numFmtId="0" fontId="5" fillId="72" borderId="3" xfId="0" applyNumberFormat="1" applyFont="1" applyFill="1" applyBorder="1" applyAlignment="1">
      <x:alignment horizontal="left" vertical="top" wrapText="1"/>
    </x:xf>
    <x:xf numFmtId="0" fontId="4" fillId="72" borderId="3" xfId="0" applyNumberFormat="1" applyFont="1" applyFill="1" applyBorder="1" applyAlignment="1">
      <x:alignment horizontal="left" vertical="top" wrapText="1"/>
    </x:xf>
    <x:xf numFmtId="0" fontId="4" fillId="72" borderId="3" xfId="0" applyNumberFormat="1" applyFont="1" applyFill="1" applyBorder="1" applyAlignment="1">
      <x:alignment horizontal="center" vertical="top" wrapText="1"/>
    </x:xf>
    <x:xf numFmtId="0" fontId="4" fillId="72" borderId="3" xfId="0" applyNumberFormat="1" applyFont="1" applyFill="1" applyBorder="1" applyAlignment="1">
      <x:alignment horizontal="center" vertical="center" wrapText="1"/>
    </x:xf>
    <x:xf numFmtId="0" fontId="4" fillId="72" borderId="3" xfId="0" applyNumberFormat="1" applyFont="1" applyFill="1" applyBorder="1" applyAlignment="1">
      <x:alignment horizontal="left" vertical="center" wrapText="1"/>
    </x:xf>
    <x:xf numFmtId="0" fontId="5" fillId="72" borderId="4" xfId="0" applyNumberFormat="1" applyFont="1" applyFill="1" applyBorder="1" applyAlignment="1">
      <x:alignment horizontal="center" vertical="top" wrapText="1"/>
    </x:xf>
    <x:xf numFmtId="0" fontId="5" fillId="72" borderId="4" xfId="0" applyNumberFormat="1" applyFont="1" applyFill="1" applyBorder="1" applyAlignment="1">
      <x:alignment horizontal="left" vertical="top" wrapText="1"/>
    </x:xf>
    <x:xf numFmtId="0" fontId="4" fillId="72" borderId="4" xfId="0" applyNumberFormat="1" applyFont="1" applyFill="1" applyBorder="1" applyAlignment="1">
      <x:alignment horizontal="left" vertical="top" wrapText="1"/>
    </x:xf>
    <x:xf numFmtId="0" fontId="4" fillId="72" borderId="4" xfId="0" applyNumberFormat="1" applyFont="1" applyFill="1" applyBorder="1" applyAlignment="1">
      <x:alignment horizontal="center" vertical="top" wrapText="1"/>
    </x:xf>
    <x:xf numFmtId="0" fontId="4" fillId="72" borderId="4" xfId="0" applyNumberFormat="1" applyFont="1" applyFill="1" applyBorder="1" applyAlignment="1">
      <x:alignment horizontal="center" vertical="center" wrapText="1"/>
    </x:xf>
    <x:xf numFmtId="0" fontId="4" fillId="72" borderId="4" xfId="0" applyNumberFormat="1" applyFont="1" applyFill="1" applyBorder="1" applyAlignment="1">
      <x:alignment horizontal="left" vertical="center" wrapText="1"/>
    </x:xf>
    <x:xf numFmtId="0" fontId="50" fillId="72" borderId="2" xfId="0" applyNumberFormat="1" applyFont="1" applyFill="1" applyBorder="1" applyAlignment="1">
      <x:alignment horizontal="center" vertical="top" wrapText="1"/>
    </x:xf>
    <x:xf numFmtId="0" fontId="50" fillId="72" borderId="2" xfId="0" applyNumberFormat="1" applyFont="1" applyFill="1" applyBorder="1" applyAlignment="1">
      <x:alignment horizontal="left" vertical="top" wrapText="1"/>
    </x:xf>
    <x:xf numFmtId="0" fontId="45" fillId="72" borderId="2" xfId="0" applyNumberFormat="1" applyFont="1" applyFill="1" applyBorder="1" applyAlignment="1">
      <x:alignment horizontal="left" vertical="top" wrapText="1"/>
    </x:xf>
    <x:xf numFmtId="0" fontId="45" fillId="72" borderId="2" xfId="0" applyNumberFormat="1" applyFont="1" applyFill="1" applyBorder="1" applyAlignment="1">
      <x:alignment horizontal="center" vertical="top" wrapText="1"/>
    </x:xf>
    <x:xf numFmtId="0" fontId="45" fillId="72" borderId="2" xfId="0" applyNumberFormat="1" applyFont="1" applyFill="1" applyBorder="1" applyAlignment="1">
      <x:alignment horizontal="center" vertical="center" wrapText="1"/>
    </x:xf>
    <x:xf numFmtId="0" fontId="45" fillId="72" borderId="2" xfId="0" applyNumberFormat="1" applyFont="1" applyFill="1" applyBorder="1" applyAlignment="1">
      <x:alignment horizontal="left" vertical="center" wrapText="1"/>
    </x:xf>
    <x:xf numFmtId="0" fontId="50" fillId="72" borderId="3" xfId="0" applyNumberFormat="1" applyFont="1" applyFill="1" applyBorder="1" applyAlignment="1">
      <x:alignment horizontal="center" vertical="top" wrapText="1"/>
    </x:xf>
    <x:xf numFmtId="0" fontId="50" fillId="72" borderId="3" xfId="0" applyNumberFormat="1" applyFont="1" applyFill="1" applyBorder="1" applyAlignment="1">
      <x:alignment horizontal="left" vertical="top" wrapText="1"/>
    </x:xf>
    <x:xf numFmtId="0" fontId="45" fillId="72" borderId="3" xfId="0" applyNumberFormat="1" applyFont="1" applyFill="1" applyBorder="1" applyAlignment="1">
      <x:alignment horizontal="left" vertical="top" wrapText="1"/>
    </x:xf>
    <x:xf numFmtId="0" fontId="45" fillId="72" borderId="3" xfId="0" applyNumberFormat="1" applyFont="1" applyFill="1" applyBorder="1" applyAlignment="1">
      <x:alignment horizontal="center" vertical="top" wrapText="1"/>
    </x:xf>
    <x:xf numFmtId="0" fontId="45" fillId="72" borderId="3" xfId="0" applyNumberFormat="1" applyFont="1" applyFill="1" applyBorder="1" applyAlignment="1">
      <x:alignment horizontal="center" vertical="center" wrapText="1"/>
    </x:xf>
    <x:xf numFmtId="0" fontId="45" fillId="72" borderId="3" xfId="0" applyNumberFormat="1" applyFont="1" applyFill="1" applyBorder="1" applyAlignment="1">
      <x:alignment horizontal="left" vertical="center" wrapText="1"/>
    </x:xf>
    <x:xf numFmtId="0" fontId="50" fillId="72" borderId="4" xfId="0" applyNumberFormat="1" applyFont="1" applyFill="1" applyBorder="1" applyAlignment="1">
      <x:alignment horizontal="center" vertical="top" wrapText="1"/>
    </x:xf>
    <x:xf numFmtId="0" fontId="50" fillId="72" borderId="4" xfId="0" applyNumberFormat="1" applyFont="1" applyFill="1" applyBorder="1" applyAlignment="1">
      <x:alignment horizontal="left" vertical="top" wrapText="1"/>
    </x:xf>
    <x:xf numFmtId="0" fontId="45" fillId="72" borderId="4" xfId="0" applyNumberFormat="1" applyFont="1" applyFill="1" applyBorder="1" applyAlignment="1">
      <x:alignment horizontal="left" vertical="top" wrapText="1"/>
    </x:xf>
    <x:xf numFmtId="0" fontId="45" fillId="72" borderId="4" xfId="0" applyNumberFormat="1" applyFont="1" applyFill="1" applyBorder="1" applyAlignment="1">
      <x:alignment horizontal="center" vertical="top" wrapText="1"/>
    </x:xf>
    <x:xf numFmtId="0" fontId="45" fillId="72" borderId="4" xfId="0" applyNumberFormat="1" applyFont="1" applyFill="1" applyBorder="1" applyAlignment="1">
      <x:alignment horizontal="center" vertical="center" wrapText="1"/>
    </x:xf>
    <x:xf numFmtId="0" fontId="45" fillId="72" borderId="4" xfId="0" applyNumberFormat="1" applyFont="1" applyFill="1" applyBorder="1" applyAlignment="1">
      <x:alignment horizontal="left" vertical="center" wrapText="1"/>
    </x:xf>
    <x:xf numFmtId="0" fontId="50" fillId="72" borderId="27" xfId="0" applyNumberFormat="1" applyFont="1" applyFill="1" applyBorder="1" applyAlignment="1">
      <x:alignment horizontal="center" vertical="top" wrapText="1"/>
    </x:xf>
    <x:xf numFmtId="0" fontId="50" fillId="72" borderId="28" xfId="0" applyNumberFormat="1" applyFont="1" applyFill="1" applyBorder="1" applyAlignment="1">
      <x:alignment horizontal="center" vertical="top" wrapText="1"/>
    </x:xf>
    <x:xf numFmtId="0" fontId="50" fillId="72" borderId="28" xfId="0" applyNumberFormat="1" applyFont="1" applyFill="1" applyBorder="1" applyAlignment="1">
      <x:alignment horizontal="left" vertical="top" wrapText="1"/>
    </x:xf>
    <x:xf numFmtId="0" fontId="45" fillId="72" borderId="28" xfId="0" applyNumberFormat="1" applyFont="1" applyFill="1" applyBorder="1" applyAlignment="1">
      <x:alignment horizontal="left" vertical="top" wrapText="1"/>
    </x:xf>
    <x:xf numFmtId="0" fontId="45" fillId="72" borderId="28" xfId="0" applyNumberFormat="1" applyFont="1" applyFill="1" applyBorder="1" applyAlignment="1">
      <x:alignment horizontal="center" vertical="top" wrapText="1"/>
    </x:xf>
    <x:xf numFmtId="0" fontId="45" fillId="72" borderId="28" xfId="0" applyNumberFormat="1" applyFont="1" applyFill="1" applyBorder="1" applyAlignment="1">
      <x:alignment horizontal="center" vertical="center" wrapText="1"/>
    </x:xf>
    <x:xf numFmtId="0" fontId="45" fillId="72" borderId="28" xfId="0" applyNumberFormat="1" applyFont="1" applyFill="1" applyBorder="1" applyAlignment="1">
      <x:alignment horizontal="left" vertical="center" wrapText="1"/>
    </x:xf>
    <x:xf numFmtId="0" fontId="45" fillId="72" borderId="29" xfId="0" applyNumberFormat="1" applyFont="1" applyFill="1" applyBorder="1" applyAlignment="1">
      <x:alignment horizontal="center" vertical="center" wrapText="1"/>
    </x:xf>
    <x:xf numFmtId="0" fontId="50" fillId="72" borderId="54" xfId="0" applyNumberFormat="1" applyFont="1" applyFill="1" applyBorder="1" applyAlignment="1">
      <x:alignment horizontal="center" vertical="top" wrapText="1"/>
    </x:xf>
    <x:xf numFmtId="0" fontId="50" fillId="72" borderId="55" xfId="0" applyNumberFormat="1" applyFont="1" applyFill="1" applyBorder="1" applyAlignment="1">
      <x:alignment horizontal="center" vertical="top" wrapText="1"/>
    </x:xf>
    <x:xf numFmtId="0" fontId="50" fillId="72" borderId="55" xfId="0" applyNumberFormat="1" applyFont="1" applyFill="1" applyBorder="1" applyAlignment="1">
      <x:alignment horizontal="left" vertical="top" wrapText="1"/>
    </x:xf>
    <x:xf numFmtId="0" fontId="45" fillId="72" borderId="55" xfId="0" applyNumberFormat="1" applyFont="1" applyFill="1" applyBorder="1" applyAlignment="1">
      <x:alignment horizontal="left" vertical="top" wrapText="1"/>
    </x:xf>
    <x:xf numFmtId="0" fontId="45" fillId="72" borderId="55" xfId="0" applyNumberFormat="1" applyFont="1" applyFill="1" applyBorder="1" applyAlignment="1">
      <x:alignment horizontal="center" vertical="top" wrapText="1"/>
    </x:xf>
    <x:xf numFmtId="0" fontId="45" fillId="72" borderId="55" xfId="0" applyNumberFormat="1" applyFont="1" applyFill="1" applyBorder="1" applyAlignment="1">
      <x:alignment horizontal="center" vertical="center" wrapText="1"/>
    </x:xf>
    <x:xf numFmtId="0" fontId="45" fillId="72" borderId="55" xfId="0" applyNumberFormat="1" applyFont="1" applyFill="1" applyBorder="1" applyAlignment="1">
      <x:alignment horizontal="left" vertical="center" wrapText="1"/>
    </x:xf>
    <x:xf numFmtId="0" fontId="45" fillId="72" borderId="56" xfId="0" applyNumberFormat="1" applyFont="1" applyFill="1" applyBorder="1" applyAlignment="1">
      <x:alignment horizontal="center" vertical="center" wrapText="1"/>
    </x:xf>
    <x:xf numFmtId="0" fontId="50" fillId="72" borderId="57" xfId="0" applyNumberFormat="1" applyFont="1" applyFill="1" applyBorder="1" applyAlignment="1">
      <x:alignment horizontal="center" vertical="top" wrapText="1"/>
    </x:xf>
    <x:xf numFmtId="0" fontId="50" fillId="72" borderId="58" xfId="0" applyNumberFormat="1" applyFont="1" applyFill="1" applyBorder="1" applyAlignment="1">
      <x:alignment horizontal="center" vertical="top" wrapText="1"/>
    </x:xf>
    <x:xf numFmtId="0" fontId="50" fillId="72" borderId="58" xfId="0" applyNumberFormat="1" applyFont="1" applyFill="1" applyBorder="1" applyAlignment="1">
      <x:alignment horizontal="left" vertical="top" wrapText="1"/>
    </x:xf>
    <x:xf numFmtId="0" fontId="45" fillId="72" borderId="58" xfId="0" applyNumberFormat="1" applyFont="1" applyFill="1" applyBorder="1" applyAlignment="1">
      <x:alignment horizontal="left" vertical="top" wrapText="1"/>
    </x:xf>
    <x:xf numFmtId="0" fontId="45" fillId="72" borderId="58" xfId="0" applyNumberFormat="1" applyFont="1" applyFill="1" applyBorder="1" applyAlignment="1">
      <x:alignment horizontal="center" vertical="top" wrapText="1"/>
    </x:xf>
    <x:xf numFmtId="0" fontId="45" fillId="72" borderId="58" xfId="0" applyNumberFormat="1" applyFont="1" applyFill="1" applyBorder="1" applyAlignment="1">
      <x:alignment horizontal="center" vertical="center" wrapText="1"/>
    </x:xf>
    <x:xf numFmtId="0" fontId="45" fillId="72" borderId="58" xfId="0" applyNumberFormat="1" applyFont="1" applyFill="1" applyBorder="1" applyAlignment="1">
      <x:alignment horizontal="left" vertical="center" wrapText="1"/>
    </x:xf>
    <x:xf numFmtId="0" fontId="45" fillId="72" borderId="59" xfId="0" applyNumberFormat="1" applyFont="1" applyFill="1" applyBorder="1" applyAlignment="1">
      <x:alignment horizontal="center" vertical="center" wrapText="1"/>
    </x:xf>
    <x:xf numFmtId="0" fontId="50" fillId="72" borderId="33" xfId="0" applyNumberFormat="1" applyFont="1" applyFill="1" applyBorder="1" applyAlignment="1">
      <x:alignment horizontal="center" vertical="top" wrapText="1"/>
    </x:xf>
    <x:xf numFmtId="0" fontId="50" fillId="72" borderId="34" xfId="0" applyNumberFormat="1" applyFont="1" applyFill="1" applyBorder="1" applyAlignment="1">
      <x:alignment horizontal="center" vertical="top" wrapText="1"/>
    </x:xf>
    <x:xf numFmtId="0" fontId="50" fillId="72" borderId="34" xfId="0" applyNumberFormat="1" applyFont="1" applyFill="1" applyBorder="1" applyAlignment="1">
      <x:alignment horizontal="left" vertical="top" wrapText="1"/>
    </x:xf>
    <x:xf numFmtId="0" fontId="45" fillId="72" borderId="34" xfId="0" applyNumberFormat="1" applyFont="1" applyFill="1" applyBorder="1" applyAlignment="1">
      <x:alignment horizontal="left" vertical="top" wrapText="1"/>
    </x:xf>
    <x:xf numFmtId="0" fontId="45" fillId="72" borderId="34" xfId="0" applyNumberFormat="1" applyFont="1" applyFill="1" applyBorder="1" applyAlignment="1">
      <x:alignment horizontal="center" vertical="top" wrapText="1"/>
    </x:xf>
    <x:xf numFmtId="0" fontId="45" fillId="72" borderId="34" xfId="0" applyNumberFormat="1" applyFont="1" applyFill="1" applyBorder="1" applyAlignment="1">
      <x:alignment horizontal="center" vertical="center" wrapText="1"/>
    </x:xf>
    <x:xf numFmtId="0" fontId="45" fillId="72" borderId="34" xfId="0" applyNumberFormat="1" applyFont="1" applyFill="1" applyBorder="1" applyAlignment="1">
      <x:alignment horizontal="left" vertical="center" wrapText="1"/>
    </x:xf>
    <x:xf numFmtId="0" fontId="45" fillId="72" borderId="35" xfId="0" applyNumberFormat="1" applyFont="1" applyFill="1" applyBorder="1" applyAlignment="1">
      <x:alignment horizontal="center" vertical="center" wrapText="1"/>
    </x:xf>
    <x:xf numFmtId="0" fontId="50" fillId="72" borderId="51" xfId="0" applyNumberFormat="1" applyFont="1" applyFill="1" applyBorder="1" applyAlignment="1">
      <x:alignment horizontal="center" vertical="top" wrapText="1"/>
    </x:xf>
    <x:xf numFmtId="0" fontId="50" fillId="72" borderId="52" xfId="0" applyNumberFormat="1" applyFont="1" applyFill="1" applyBorder="1" applyAlignment="1">
      <x:alignment horizontal="center" vertical="top" wrapText="1"/>
    </x:xf>
    <x:xf numFmtId="0" fontId="50" fillId="72" borderId="52" xfId="0" applyNumberFormat="1" applyFont="1" applyFill="1" applyBorder="1" applyAlignment="1">
      <x:alignment horizontal="left" vertical="top" wrapText="1"/>
    </x:xf>
    <x:xf numFmtId="0" fontId="45" fillId="72" borderId="52" xfId="0" applyNumberFormat="1" applyFont="1" applyFill="1" applyBorder="1" applyAlignment="1">
      <x:alignment horizontal="left" vertical="top" wrapText="1"/>
    </x:xf>
    <x:xf numFmtId="0" fontId="45" fillId="72" borderId="52" xfId="0" applyNumberFormat="1" applyFont="1" applyFill="1" applyBorder="1" applyAlignment="1">
      <x:alignment horizontal="center" vertical="top" wrapText="1"/>
    </x:xf>
    <x:xf numFmtId="0" fontId="45" fillId="72" borderId="52" xfId="0" applyNumberFormat="1" applyFont="1" applyFill="1" applyBorder="1" applyAlignment="1">
      <x:alignment horizontal="center" vertical="center" wrapText="1"/>
    </x:xf>
    <x:xf numFmtId="0" fontId="45" fillId="72" borderId="52" xfId="0" applyNumberFormat="1" applyFont="1" applyFill="1" applyBorder="1" applyAlignment="1">
      <x:alignment horizontal="left" vertical="center" wrapText="1"/>
    </x:xf>
    <x:xf numFmtId="0" fontId="45" fillId="72" borderId="53" xfId="0" applyNumberFormat="1" applyFont="1" applyFill="1" applyBorder="1" applyAlignment="1">
      <x:alignment horizontal="center" vertical="center" wrapText="1"/>
    </x:xf>
    <x:xf numFmtId="200" fontId="6" fillId="72" borderId="2" xfId="0" applyNumberFormat="1" applyFont="1" applyFill="1" applyBorder="1" applyAlignment="1">
      <x:alignment horizontal="left" vertical="top" wrapText="1"/>
    </x:xf>
    <x:xf numFmtId="200" fontId="6" fillId="72" borderId="3" xfId="0" applyNumberFormat="1" applyFont="1" applyFill="1" applyBorder="1" applyAlignment="1">
      <x:alignment horizontal="left" vertical="top" wrapText="1"/>
    </x:xf>
    <x:xf numFmtId="200" fontId="6" fillId="72" borderId="4" xfId="0" applyNumberFormat="1" applyFont="1" applyFill="1" applyBorder="1" applyAlignment="1">
      <x:alignment horizontal="left" vertical="top" wrapText="1"/>
    </x:xf>
    <x:xf numFmtId="200" fontId="45" fillId="72" borderId="2" xfId="0" applyNumberFormat="1" applyFont="1" applyFill="1" applyBorder="1" applyAlignment="1">
      <x:alignment horizontal="left" vertical="top" wrapText="1"/>
    </x:xf>
    <x:xf numFmtId="200" fontId="45" fillId="72" borderId="3" xfId="0" applyNumberFormat="1" applyFont="1" applyFill="1" applyBorder="1" applyAlignment="1">
      <x:alignment horizontal="left" vertical="top" wrapText="1"/>
    </x:xf>
    <x:xf numFmtId="200" fontId="45" fillId="72" borderId="4" xfId="0" applyNumberFormat="1" applyFont="1" applyFill="1" applyBorder="1" applyAlignment="1">
      <x:alignment horizontal="left" vertical="top" wrapText="1"/>
    </x:xf>
    <x:xf numFmtId="0" fontId="50" fillId="72" borderId="27" xfId="0" applyNumberFormat="1" applyFont="1" applyFill="1" applyBorder="1" applyAlignment="1">
      <x:alignment horizontal="left" vertical="top" wrapText="1"/>
    </x:xf>
    <x:xf numFmtId="200" fontId="45" fillId="72" borderId="28" xfId="0" applyNumberFormat="1" applyFont="1" applyFill="1" applyBorder="1" applyAlignment="1">
      <x:alignment horizontal="left" vertical="top" wrapText="1"/>
    </x:xf>
    <x:xf numFmtId="0" fontId="45" fillId="72" borderId="29" xfId="0" applyNumberFormat="1" applyFont="1" applyFill="1" applyBorder="1" applyAlignment="1">
      <x:alignment horizontal="left" vertical="top" wrapText="1"/>
    </x:xf>
    <x:xf numFmtId="0" fontId="50" fillId="72" borderId="54" xfId="0" applyNumberFormat="1" applyFont="1" applyFill="1" applyBorder="1" applyAlignment="1">
      <x:alignment horizontal="left" vertical="top" wrapText="1"/>
    </x:xf>
    <x:xf numFmtId="200" fontId="45" fillId="72" borderId="55" xfId="0" applyNumberFormat="1" applyFont="1" applyFill="1" applyBorder="1" applyAlignment="1">
      <x:alignment horizontal="left" vertical="top" wrapText="1"/>
    </x:xf>
    <x:xf numFmtId="0" fontId="45" fillId="72" borderId="56" xfId="0" applyNumberFormat="1" applyFont="1" applyFill="1" applyBorder="1" applyAlignment="1">
      <x:alignment horizontal="left" vertical="top" wrapText="1"/>
    </x:xf>
    <x:xf numFmtId="0" fontId="50" fillId="72" borderId="57" xfId="0" applyNumberFormat="1" applyFont="1" applyFill="1" applyBorder="1" applyAlignment="1">
      <x:alignment horizontal="left" vertical="top" wrapText="1"/>
    </x:xf>
    <x:xf numFmtId="200" fontId="45" fillId="72" borderId="58" xfId="0" applyNumberFormat="1" applyFont="1" applyFill="1" applyBorder="1" applyAlignment="1">
      <x:alignment horizontal="left" vertical="top" wrapText="1"/>
    </x:xf>
    <x:xf numFmtId="0" fontId="45" fillId="72" borderId="59" xfId="0" applyNumberFormat="1" applyFont="1" applyFill="1" applyBorder="1" applyAlignment="1">
      <x:alignment horizontal="left" vertical="top" wrapText="1"/>
    </x:xf>
    <x:xf numFmtId="0" fontId="50" fillId="72" borderId="33" xfId="0" applyNumberFormat="1" applyFont="1" applyFill="1" applyBorder="1" applyAlignment="1">
      <x:alignment horizontal="left" vertical="top" wrapText="1"/>
    </x:xf>
    <x:xf numFmtId="200" fontId="45" fillId="72" borderId="34" xfId="0" applyNumberFormat="1" applyFont="1" applyFill="1" applyBorder="1" applyAlignment="1">
      <x:alignment horizontal="left" vertical="top" wrapText="1"/>
    </x:xf>
    <x:xf numFmtId="0" fontId="45" fillId="72" borderId="35" xfId="0" applyNumberFormat="1" applyFont="1" applyFill="1" applyBorder="1" applyAlignment="1">
      <x:alignment horizontal="left" vertical="top" wrapText="1"/>
    </x:xf>
    <x:xf numFmtId="0" fontId="50" fillId="72" borderId="51" xfId="0" applyNumberFormat="1" applyFont="1" applyFill="1" applyBorder="1" applyAlignment="1">
      <x:alignment horizontal="left" vertical="top" wrapText="1"/>
    </x:xf>
    <x:xf numFmtId="200" fontId="45" fillId="72" borderId="52" xfId="0" applyNumberFormat="1" applyFont="1" applyFill="1" applyBorder="1" applyAlignment="1">
      <x:alignment horizontal="left" vertical="top" wrapText="1"/>
    </x:xf>
    <x:xf numFmtId="0" fontId="45" fillId="72" borderId="53" xfId="0" applyNumberFormat="1" applyFont="1" applyFill="1" applyBorder="1" applyAlignment="1">
      <x:alignment horizontal="left" vertical="top" wrapText="1"/>
    </x:xf>
    <x:xf numFmtId="200" fontId="49" fillId="72" borderId="34" xfId="0" applyNumberFormat="1" applyFont="1" applyFill="1" applyBorder="1" applyAlignment="1">
      <x:alignment horizontal="left" vertical="top" wrapText="1"/>
    </x:xf>
    <x:xf numFmtId="200" fontId="49" fillId="72" borderId="52" xfId="0" applyNumberFormat="1" applyFont="1" applyFill="1" applyBorder="1" applyAlignment="1">
      <x:alignment horizontal="left" vertical="top" wrapText="1"/>
    </x:xf>
    <x:xf numFmtId="0" fontId="1" fillId="72" borderId="0" xfId="0" applyNumberFormat="1" applyFont="1" applyFill="1" applyBorder="1" applyAlignment="1">
      <x:alignment horizontal="left" vertical="center"/>
    </x:xf>
    <x:xf numFmtId="0" fontId="20" fillId="72" borderId="0" xfId="0" applyNumberFormat="1" applyFont="1" applyFill="1" applyBorder="1" applyAlignment="1">
      <x:alignment vertical="center" wrapText="1"/>
    </x:xf>
    <x:xf numFmtId="0" fontId="3" fillId="72" borderId="9" xfId="0" applyNumberFormat="1" applyFont="1" applyFill="1" applyBorder="1" applyAlignment="1">
      <x:alignment horizontal="center" vertical="center" wrapText="1"/>
    </x:xf>
    <x:xf numFmtId="0" fontId="7" fillId="72" borderId="10" xfId="0" applyNumberFormat="1" applyFont="1" applyFill="1" applyBorder="1" applyAlignment="1">
      <x:alignment horizontal="center" vertical="center" wrapText="1"/>
    </x:xf>
    <x:xf numFmtId="0" fontId="7" fillId="72" borderId="10" xfId="0" applyNumberFormat="1" applyFont="1" applyFill="1" applyBorder="1" applyAlignment="1">
      <x:alignment vertical="center" wrapText="1"/>
    </x:xf>
    <x:xf numFmtId="0" fontId="39" fillId="72" borderId="0" xfId="0" applyNumberFormat="1" applyFont="1" applyFill="1" applyBorder="1" applyAlignment="1">
      <x:alignment horizontal="left" vertical="center"/>
    </x:xf>
    <x:xf numFmtId="0" fontId="42" fillId="72" borderId="9" xfId="0" applyNumberFormat="1" applyFont="1" applyFill="1" applyBorder="1" applyAlignment="1">
      <x:alignment horizontal="center" vertical="center" wrapText="1"/>
    </x:xf>
    <x:xf numFmtId="0" fontId="40" fillId="72" borderId="10" xfId="0" applyNumberFormat="1" applyFont="1" applyFill="1" applyBorder="1" applyAlignment="1">
      <x:alignment horizontal="center" vertical="center" wrapText="1"/>
    </x:xf>
    <x:xf numFmtId="0" fontId="40" fillId="72" borderId="10" xfId="0" applyNumberFormat="1" applyFont="1" applyFill="1" applyBorder="1" applyAlignment="1">
      <x:alignment vertical="center" wrapText="1"/>
    </x:xf>
    <x:xf numFmtId="0" fontId="39" fillId="72" borderId="11" xfId="0" applyNumberFormat="1" applyFont="1" applyFill="1" applyBorder="1" applyAlignment="1">
      <x:alignment horizontal="left" vertical="center"/>
    </x:xf>
    <x:xf numFmtId="0" fontId="39" fillId="72" borderId="12" xfId="0" applyNumberFormat="1" applyFont="1" applyFill="1" applyBorder="1" applyAlignment="1">
      <x:alignment horizontal="left" vertical="center"/>
    </x:xf>
    <x:xf numFmtId="0" fontId="39" fillId="72" borderId="13" xfId="0" applyNumberFormat="1" applyFont="1" applyFill="1" applyBorder="1" applyAlignment="1">
      <x:alignment horizontal="left" vertical="center"/>
    </x:xf>
    <x:xf numFmtId="0" fontId="42" fillId="72" borderId="60" xfId="0" applyNumberFormat="1" applyFont="1" applyFill="1" applyBorder="1" applyAlignment="1">
      <x:alignment horizontal="center" vertical="center" wrapText="1"/>
    </x:xf>
    <x:xf numFmtId="0" fontId="42" fillId="72" borderId="61" xfId="0" applyNumberFormat="1" applyFont="1" applyFill="1" applyBorder="1" applyAlignment="1">
      <x:alignment horizontal="center" vertical="center" wrapText="1"/>
    </x:xf>
    <x:xf numFmtId="0" fontId="42" fillId="72" borderId="62" xfId="0" applyNumberFormat="1" applyFont="1" applyFill="1" applyBorder="1" applyAlignment="1">
      <x:alignment horizontal="center" vertical="center" wrapText="1"/>
    </x:xf>
    <x:xf numFmtId="0" fontId="40" fillId="72" borderId="63" xfId="0" applyNumberFormat="1" applyFont="1" applyFill="1" applyBorder="1" applyAlignment="1">
      <x:alignment horizontal="center" vertical="center" wrapText="1"/>
    </x:xf>
    <x:xf numFmtId="0" fontId="40" fillId="72" borderId="64" xfId="0" applyNumberFormat="1" applyFont="1" applyFill="1" applyBorder="1" applyAlignment="1">
      <x:alignment horizontal="center" vertical="center" wrapText="1"/>
    </x:xf>
    <x:xf numFmtId="0" fontId="40" fillId="72" borderId="64" xfId="0" applyNumberFormat="1" applyFont="1" applyFill="1" applyBorder="1" applyAlignment="1">
      <x:alignment vertical="center" wrapText="1"/>
    </x:xf>
    <x:xf numFmtId="0" fontId="40" fillId="72" borderId="65" xfId="0" applyNumberFormat="1" applyFont="1" applyFill="1" applyBorder="1" applyAlignment="1">
      <x:alignment vertical="center" wrapText="1"/>
    </x:xf>
    <x:xf numFmtId="0" fontId="40" fillId="72" borderId="66" xfId="0" applyNumberFormat="1" applyFont="1" applyFill="1" applyBorder="1" applyAlignment="1">
      <x:alignment horizontal="center" vertical="center" wrapText="1"/>
    </x:xf>
    <x:xf numFmtId="0" fontId="40" fillId="72" borderId="67" xfId="0" applyNumberFormat="1" applyFont="1" applyFill="1" applyBorder="1" applyAlignment="1">
      <x:alignment horizontal="center" vertical="center" wrapText="1"/>
    </x:xf>
    <x:xf numFmtId="0" fontId="40" fillId="72" borderId="67" xfId="0" applyNumberFormat="1" applyFont="1" applyFill="1" applyBorder="1" applyAlignment="1">
      <x:alignment vertical="center" wrapText="1"/>
    </x:xf>
    <x:xf numFmtId="0" fontId="40" fillId="72" borderId="68" xfId="0" applyNumberFormat="1" applyFont="1" applyFill="1" applyBorder="1" applyAlignment="1">
      <x:alignment vertical="center" wrapText="1"/>
    </x:xf>
    <x:xf numFmtId="0" fontId="46" fillId="72" borderId="11" xfId="0" applyNumberFormat="1" applyFont="1" applyFill="1" applyBorder="1" applyAlignment="1">
      <x:alignment horizontal="left" vertical="center"/>
    </x:xf>
    <x:xf numFmtId="0" fontId="46" fillId="72" borderId="12" xfId="0" applyNumberFormat="1" applyFont="1" applyFill="1" applyBorder="1" applyAlignment="1">
      <x:alignment horizontal="left" vertical="center"/>
    </x:xf>
    <x:xf numFmtId="0" fontId="46" fillId="72" borderId="13" xfId="0" applyNumberFormat="1" applyFont="1" applyFill="1" applyBorder="1" applyAlignment="1">
      <x:alignment horizontal="left" vertical="center"/>
    </x:xf>
    <x:xf numFmtId="0" fontId="42" fillId="72" borderId="69" xfId="0" applyNumberFormat="1" applyFont="1" applyFill="1" applyBorder="1" applyAlignment="1">
      <x:alignment horizontal="center" vertical="center" wrapText="1"/>
    </x:xf>
    <x:xf numFmtId="0" fontId="42" fillId="72" borderId="70" xfId="0" applyNumberFormat="1" applyFont="1" applyFill="1" applyBorder="1" applyAlignment="1">
      <x:alignment horizontal="center" vertical="center" wrapText="1"/>
    </x:xf>
    <x:xf numFmtId="0" fontId="40" fillId="72" borderId="71" xfId="0" applyNumberFormat="1" applyFont="1" applyFill="1" applyBorder="1" applyAlignment="1">
      <x:alignment horizontal="center" vertical="center" wrapText="1"/>
    </x:xf>
    <x:xf numFmtId="0" fontId="40" fillId="72" borderId="72" xfId="0" applyNumberFormat="1" applyFont="1" applyFill="1" applyBorder="1" applyAlignment="1">
      <x:alignment horizontal="center" vertical="center" wrapText="1"/>
    </x:xf>
    <x:xf numFmtId="0" fontId="40" fillId="72" borderId="72" xfId="0" applyNumberFormat="1" applyFont="1" applyFill="1" applyBorder="1" applyAlignment="1">
      <x:alignment vertical="center" wrapText="1"/>
    </x:xf>
    <x:xf numFmtId="0" fontId="40" fillId="72" borderId="73" xfId="0" applyNumberFormat="1" applyFont="1" applyFill="1" applyBorder="1" applyAlignment="1">
      <x:alignment horizontal="center" vertical="center" wrapText="1"/>
    </x:xf>
    <x:xf numFmtId="0" fontId="40" fillId="72" borderId="74" xfId="0" applyNumberFormat="1" applyFont="1" applyFill="1" applyBorder="1" applyAlignment="1">
      <x:alignment horizontal="center" vertical="center" wrapText="1"/>
    </x:xf>
    <x:xf numFmtId="0" fontId="40" fillId="72" borderId="7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6">
    <x:dxf>
      <x:font>
        <x:b/>
        <x:color rgb="FFD92D20"/>
      </x:font>
      <x:fill>
        <x:patternFill>
          <x:bgColor rgb="FFFFF1F0"/>
        </x:patternFill>
      </x:fill>
    </x:dxf>
    <x:dxf>
      <x:font>
        <x:b/>
        <x:color rgb="FF16865B"/>
      </x:font>
      <x:fill>
        <x:patternFill>
          <x:bgColor rgb="FFE8F7EE"/>
        </x:patternFill>
      </x:fill>
    </x:dxf>
    <x:dxf>
      <x:font>
        <x:b/>
        <x:color rgb="FFB54708"/>
      </x:font>
      <x:fill>
        <x:patternFill>
          <x:bgColor rgb="FFFFF7E6"/>
        </x:patternFill>
      </x:fill>
    </x:dxf>
    <x:dxf>
      <x:font>
        <x:b/>
        <x:color rgb="FFD92D20"/>
      </x:font>
      <x:fill>
        <x:patternFill>
          <x:bgColor rgb="FFFFF1F0"/>
        </x:patternFill>
      </x:fill>
    </x:dxf>
    <x:dxf>
      <x:font>
        <x:b/>
        <x:color rgb="FF4B5563"/>
      </x:font>
      <x:fill>
        <x:patternFill>
          <x:bgColor rgb="FFF3F4F6"/>
        </x:patternFill>
      </x:fill>
    </x:dxf>
    <x:dxf>
      <x:font>
        <x:b/>
        <x:color rgb="FF16865B"/>
      </x:font>
      <x:fill>
        <x:patternFill>
          <x:bgColor rgb="FFE8F7EE"/>
        </x:patternFill>
      </x:fill>
    </x:dxf>
    <x:dxf>
      <x:font>
        <x:b/>
        <x:color rgb="FFB54708"/>
      </x:font>
      <x:fill>
        <x:patternFill>
          <x:bgColor rgb="FFFFF7E6"/>
        </x:patternFill>
      </x:fill>
    </x:dxf>
    <x:dxf>
      <x:font>
        <x:b/>
        <x:color rgb="FFD92D20"/>
      </x:font>
      <x:fill>
        <x:patternFill>
          <x:bgColor rgb="FFFFF1F0"/>
        </x:patternFill>
      </x:fill>
    </x:dxf>
    <x:dxf>
      <x:font>
        <x:color rgb="FFD92D20"/>
      </x:font>
      <x:fill>
        <x:patternFill>
          <x:bgColor rgb="FFFFF1F0"/>
        </x:patternFill>
      </x:fill>
    </x:dxf>
    <x:dxf>
      <x:font>
        <x:b/>
        <x:color rgb="FFD92D20"/>
      </x:font>
      <x:fill>
        <x:patternFill>
          <x:bgColor rgb="FFFFF1F0"/>
        </x:patternFill>
      </x:fill>
    </x:dxf>
    <x:dxf>
      <x:font>
        <x:b/>
        <x:color rgb="FFB54708"/>
      </x:font>
      <x:fill>
        <x:patternFill>
          <x:bgColor rgb="FFFFF7E6"/>
        </x:patternFill>
      </x:fill>
    </x:dxf>
    <x:dxf>
      <x:font>
        <x:b/>
        <x:color rgb="FF1677FF"/>
      </x:font>
      <x:fill>
        <x:patternFill>
          <x:bgColor rgb="FFEAF4FF"/>
        </x:patternFill>
      </x:fill>
    </x:dxf>
    <x:dxf>
      <x:font>
        <x:b/>
        <x:color rgb="FFD92D20"/>
      </x:font>
      <x:fill>
        <x:patternFill>
          <x:bgColor rgb="FFFFF1F0"/>
        </x:patternFill>
      </x:fill>
    </x:dxf>
    <x:dxf>
      <x:font>
        <x:b/>
        <x:color rgb="FF16865B"/>
      </x:font>
      <x:fill>
        <x:patternFill>
          <x:bgColor rgb="FFE8F7EE"/>
        </x:patternFill>
      </x:fill>
    </x:dxf>
    <x:dxf>
      <x:font>
        <x:b/>
        <x:color rgb="FF16865B"/>
      </x:font>
      <x:fill>
        <x:patternFill>
          <x:bgColor rgb="FFE8F7EE"/>
        </x:patternFill>
      </x:fill>
    </x:dxf>
    <x:dxf>
      <x:font>
        <x:b/>
        <x:color rgb="FF166534"/>
      </x:font>
      <x:fill>
        <x:patternFill>
          <x:bgColor rgb="FFE8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4338CA"/>
      </x:font>
      <x:fill>
        <x:patternFill>
          <x:bgColor rgb="FFEEF2FF"/>
        </x:patternFill>
      </x:fill>
    </x:dxf>
    <x:dxf>
      <x:font>
        <x:color rgb="FF166534"/>
      </x:font>
      <x:fill>
        <x:patternFill>
          <x:bgColor rgb="FFE8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9A6700"/>
      </x:font>
      <x:fill>
        <x:patternFill>
          <x:bgColor rgb="FFFFF7E6"/>
        </x:patternFill>
      </x:fill>
    </x:dxf>
    <x:dxf>
      <x:font>
        <x:b/>
        <x:color rgb="FF166534"/>
      </x:font>
      <x:fill>
        <x:patternFill>
          <x:bgColor rgb="FFE8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4338CA"/>
      </x:font>
      <x:fill>
        <x:patternFill>
          <x:bgColor rgb="FFEEF2FF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9A6700"/>
      </x:font>
      <x:fill>
        <x:patternFill>
          <x:bgColor rgb="FFFFF7E6"/>
        </x:patternFill>
      </x:fill>
    </x:dxf>
    <x:dxf>
      <x:font>
        <x:b/>
        <x:color rgb="FF9A6700"/>
      </x:font>
      <x:fill>
        <x:patternFill>
          <x:bgColor rgb="FFFFF7E6"/>
        </x:patternFill>
      </x:fill>
    </x:dxf>
    <x:dxf>
      <x:font>
        <x:b/>
        <x:color rgb="FF166534"/>
      </x:font>
      <x:fill>
        <x:patternFill>
          <x:bgColor rgb="FFE8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4338CA"/>
      </x:font>
      <x:fill>
        <x:patternFill>
          <x:bgColor rgb="FFEEF2FF"/>
        </x:patternFill>
      </x:fill>
    </x:dxf>
    <x:dxf>
      <x:font>
        <x:color rgb="FF166534"/>
      </x:font>
      <x:fill>
        <x:patternFill>
          <x:bgColor rgb="FFE8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9A6700"/>
      </x:font>
      <x:fill>
        <x:patternFill>
          <x:bgColor rgb="FFFFF7E6"/>
        </x:patternFill>
      </x:fill>
    </x:dxf>
    <x:dxf>
      <x:font>
        <x:b/>
        <x:color rgb="FF166534"/>
      </x:font>
      <x:fill>
        <x:patternFill>
          <x:bgColor rgb="FFE8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4338CA"/>
      </x:font>
      <x:fill>
        <x:patternFill>
          <x:bgColor rgb="FFEEF2FF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9A6700"/>
      </x:font>
      <x:fill>
        <x:patternFill>
          <x:bgColor rgb="FFFFF7E6"/>
        </x:patternFill>
      </x:fill>
    </x:dxf>
    <x:dxf>
      <x:font>
        <x:b/>
        <x:color rgb="FF9A6700"/>
      </x:font>
      <x:fill>
        <x:patternFill>
          <x:bgColor rgb="FFFFF7E6"/>
        </x:patternFill>
      </x:fill>
    </x:dxf>
    <x:dxf>
      <x:font>
        <x:b/>
        <x:color rgb="FF166534"/>
      </x:font>
      <x:fill>
        <x:patternFill>
          <x:bgColor rgb="FFE8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4338CA"/>
      </x:font>
      <x:fill>
        <x:patternFill>
          <x:bgColor rgb="FFEEF2FF"/>
        </x:patternFill>
      </x:fill>
    </x:dxf>
    <x:dxf>
      <x:font>
        <x:color rgb="FF166534"/>
      </x:font>
      <x:fill>
        <x:patternFill>
          <x:bgColor rgb="FFE8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9A6700"/>
      </x:font>
      <x:fill>
        <x:patternFill>
          <x:bgColor rgb="FFFFF7E6"/>
        </x:patternFill>
      </x:fill>
    </x:dxf>
    <x:dxf>
      <x:font>
        <x:b/>
        <x:color rgb="FF166534"/>
      </x:font>
      <x:fill>
        <x:patternFill>
          <x:bgColor rgb="FFE8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4338CA"/>
      </x:font>
      <x:fill>
        <x:patternFill>
          <x:bgColor rgb="FFEEF2FF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9A6700"/>
      </x:font>
      <x:fill>
        <x:patternFill>
          <x:bgColor rgb="FFFFF7E6"/>
        </x:patternFill>
      </x:fill>
    </x:dxf>
    <x:dxf>
      <x:font>
        <x:b/>
        <x:color rgb="FF9A6700"/>
      </x:font>
      <x:fill>
        <x:patternFill>
          <x:bgColor rgb="FFFFF7E6"/>
        </x:patternFill>
      </x:fill>
    </x:dxf>
    <x:dxf>
      <x:font>
        <x:b/>
        <x:color rgb="FF166534"/>
      </x:font>
      <x:fill>
        <x:patternFill>
          <x:bgColor rgb="FFE8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4338CA"/>
      </x:font>
      <x:fill>
        <x:patternFill>
          <x:bgColor rgb="FFEEF2FF"/>
        </x:patternFill>
      </x:fill>
    </x:dxf>
    <x:dxf>
      <x:font>
        <x:color rgb="FF166534"/>
      </x:font>
      <x:fill>
        <x:patternFill>
          <x:bgColor rgb="FFE8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9A6700"/>
      </x:font>
      <x:fill>
        <x:patternFill>
          <x:bgColor rgb="FFFFF7E6"/>
        </x:patternFill>
      </x:fill>
    </x:dxf>
    <x:dxf>
      <x:font>
        <x:b/>
        <x:color rgb="FF166534"/>
      </x:font>
      <x:fill>
        <x:patternFill>
          <x:bgColor rgb="FFE8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4338CA"/>
      </x:font>
      <x:fill>
        <x:patternFill>
          <x:bgColor rgb="FFEEF2FF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9A6700"/>
      </x:font>
      <x:fill>
        <x:patternFill>
          <x:bgColor rgb="FFFFF7E6"/>
        </x:patternFill>
      </x:fill>
    </x:dxf>
    <x:dxf>
      <x:font>
        <x:b/>
        <x:color rgb="FF9A6700"/>
      </x:font>
      <x:fill>
        <x:patternFill>
          <x:bgColor rgb="FFFFF7E6"/>
        </x:patternFill>
      </x:fill>
    </x:dxf>
    <x:dxf>
      <x:font>
        <x:b/>
        <x:color rgb="FF166534"/>
      </x:font>
      <x:fill>
        <x:patternFill>
          <x:bgColor rgb="FFE8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4338CA"/>
      </x:font>
      <x:fill>
        <x:patternFill>
          <x:bgColor rgb="FFEEF2FF"/>
        </x:patternFill>
      </x:fill>
    </x:dxf>
    <x:dxf>
      <x:font>
        <x:color rgb="FF166534"/>
      </x:font>
      <x:fill>
        <x:patternFill>
          <x:bgColor rgb="FFE8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9A6700"/>
      </x:font>
      <x:fill>
        <x:patternFill>
          <x:bgColor rgb="FFFFF7E6"/>
        </x:patternFill>
      </x:fill>
    </x:dxf>
    <x:dxf>
      <x:font>
        <x:b/>
        <x:color rgb="FF166534"/>
      </x:font>
      <x:fill>
        <x:patternFill>
          <x:bgColor rgb="FFE8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4338CA"/>
      </x:font>
      <x:fill>
        <x:patternFill>
          <x:bgColor rgb="FFEEF2FF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9A6700"/>
      </x:font>
      <x:fill>
        <x:patternFill>
          <x:bgColor rgb="FFFFF7E6"/>
        </x:patternFill>
      </x:fill>
    </x:dxf>
    <x:dxf>
      <x:font>
        <x:b/>
        <x:color rgb="FF9A6700"/>
      </x:font>
      <x:fill>
        <x:patternFill>
          <x:bgColor rgb="FFFFF7E6"/>
        </x:patternFill>
      </x:fill>
    </x:dxf>
    <x:dxf>
      <x:font>
        <x:b/>
        <x:color rgb="FF166534"/>
      </x:font>
      <x:fill>
        <x:patternFill>
          <x:bgColor rgb="FFE8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4338CA"/>
      </x:font>
      <x:fill>
        <x:patternFill>
          <x:bgColor rgb="FFEEF2FF"/>
        </x:patternFill>
      </x:fill>
    </x:dxf>
    <x:dxf>
      <x:font>
        <x:color rgb="FF166534"/>
      </x:font>
      <x:fill>
        <x:patternFill>
          <x:bgColor rgb="FFE8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9A6700"/>
      </x:font>
      <x:fill>
        <x:patternFill>
          <x:bgColor rgb="FFFFF7E6"/>
        </x:patternFill>
      </x:fill>
    </x:dxf>
    <x:dxf>
      <x:font>
        <x:b/>
        <x:color rgb="FF166534"/>
      </x:font>
      <x:fill>
        <x:patternFill>
          <x:bgColor rgb="FFE8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4338CA"/>
      </x:font>
      <x:fill>
        <x:patternFill>
          <x:bgColor rgb="FFEEF2FF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9A6700"/>
      </x:font>
      <x:fill>
        <x:patternFill>
          <x:bgColor rgb="FFFFF7E6"/>
        </x:patternFill>
      </x:fill>
    </x:dxf>
    <x:dxf>
      <x:font>
        <x:b/>
        <x:color rgb="FF9A6700"/>
      </x:font>
      <x:fill>
        <x:patternFill>
          <x:bgColor rgb="FFFFF7E6"/>
        </x:patternFill>
      </x:fill>
    </x:dxf>
    <x:dxf>
      <x:font>
        <x:b/>
        <x:color rgb="FF166534"/>
      </x:font>
      <x:fill>
        <x:patternFill>
          <x:bgColor rgb="FFE8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4338CA"/>
      </x:font>
      <x:fill>
        <x:patternFill>
          <x:bgColor rgb="FFEEF2FF"/>
        </x:patternFill>
      </x:fill>
    </x:dxf>
    <x:dxf>
      <x:font>
        <x:color rgb="FF166534"/>
      </x:font>
      <x:fill>
        <x:patternFill>
          <x:bgColor rgb="FFE8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9A6700"/>
      </x:font>
      <x:fill>
        <x:patternFill>
          <x:bgColor rgb="FFFFF7E6"/>
        </x:patternFill>
      </x:fill>
    </x:dxf>
    <x:dxf>
      <x:font>
        <x:b/>
        <x:color rgb="FF166534"/>
      </x:font>
      <x:fill>
        <x:patternFill>
          <x:bgColor rgb="FFE8F7EE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4338CA"/>
      </x:font>
      <x:fill>
        <x:patternFill>
          <x:bgColor rgb="FFEEF2FF"/>
        </x:patternFill>
      </x:fill>
    </x:dxf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9A6700"/>
      </x:font>
      <x:fill>
        <x:patternFill>
          <x:bgColor rgb="FFFFF7E6"/>
        </x:patternFill>
      </x:fill>
    </x:dxf>
    <x:dxf>
      <x:font>
        <x:b/>
        <x:color rgb="FF9A6700"/>
      </x:font>
      <x:fill>
        <x:patternFill>
          <x:bgColor rgb="FFFFF7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e42d1ce65e406a" /><Relationship Type="http://schemas.openxmlformats.org/officeDocument/2006/relationships/theme" Target="/xl/theme/theme1.xml" Id="Rcccd9189af824e36" /><Relationship Type="http://schemas.openxmlformats.org/officeDocument/2006/relationships/sharedStrings" Target="/xl/sharedStrings.xml" Id="Rf470d95cf4ae4e70" /><Relationship Type="http://schemas.openxmlformats.org/officeDocument/2006/relationships/worksheet" Target="/xl/worksheets/sheet1.xml" Id="R5ccfb893fa6643f5" /><Relationship Type="http://schemas.openxmlformats.org/officeDocument/2006/relationships/worksheet" Target="/xl/worksheets/sheet2.xml" Id="Rf3c83cc0fcf847bc" /><Relationship Type="http://schemas.openxmlformats.org/officeDocument/2006/relationships/worksheet" Target="/xl/worksheets/sheet3.xml" Id="R353b94062d944b76" /><Relationship Type="http://schemas.openxmlformats.org/officeDocument/2006/relationships/worksheet" Target="/xl/worksheets/sheet4.xml" Id="R3beeb7924341484e" /></Relationships>
</file>

<file path=xl/tables/table1.xml><?xml version="1.0" encoding="utf-8"?>
<x:table xmlns:x="http://schemas.openxmlformats.org/spreadsheetml/2006/main" id="16" name="RoleFeatureMatrix" displayName="RoleFeatureMatrix" ref="A4:K40" headerRowCount="1" totalsRowCount="0" totalsRowShown="0">
  <x:autoFilter ref="A4:K40"/>
  <x:tableColumns count="11">
    <x:tableColumn id="1" name="入口ID"/>
    <x:tableColumn id="2" name="角色"/>
    <x:tableColumn id="3" name="序号"/>
    <x:tableColumn id="4" name="功能"/>
    <x:tableColumn id="5" name="描述"/>
    <x:tableColumn id="6" name="入口位置"/>
    <x:tableColumn id="7" name="能力复用结论"/>
    <x:tableColumn id="8" name="客户必补方式"/>
    <x:tableColumn id="9" name="原型处理"/>
    <x:tableColumn id="10" name="补充项ID"/>
    <x:tableColumn id="11" name="判断依据"/>
  </x:tableColumns>
  <x:tableStyleInfo name="TableStyleLight1" showFirstColumn="0" showLastColumn="0" showRowStripes="0" showColumnStripes="0"/>
</x:table>
</file>

<file path=xl/tables/table2.xml><?xml version="1.0" encoding="utf-8"?>
<x:table xmlns:x="http://schemas.openxmlformats.org/spreadsheetml/2006/main" id="17" name="ObservedFeedback" displayName="ObservedFeedback" ref="A4:K30" headerRowCount="1" totalsRowCount="0" totalsRowShown="0">
  <x:autoFilter ref="A4:K30"/>
  <x:tableColumns count="11">
    <x:tableColumn id="1" name="关联入口ID"/>
    <x:tableColumn id="2" name="页面版本"/>
    <x:tableColumn id="3" name="入口层级"/>
    <x:tableColumn id="4" name="点击路径"/>
    <x:tableColumn id="5" name="反馈类型"/>
    <x:tableColumn id="6" name="反馈复用结论"/>
    <x:tableColumn id="7" name="完整回复样例/展示结果"/>
    <x:tableColumn id="8" name="脱敏 URL"/>
    <x:tableColumn id="9" name="跳转结果"/>
    <x:tableColumn id="10" name="异常说明"/>
    <x:tableColumn id="11" name="证据日期"/>
  </x:tableColumns>
  <x:tableStyleInfo name="TableStyleLight1" showFirstColumn="0" showLastColumn="0" showRowStripes="0" showColumnStripes="0"/>
</x:table>
</file>

<file path=xl/tables/table3.xml><?xml version="1.0" encoding="utf-8"?>
<x:table xmlns:x="http://schemas.openxmlformats.org/spreadsheetml/2006/main" id="18" name="CustomerGaps" displayName="CustomerGaps" ref="A4:L19" headerRowCount="1" totalsRowCount="0" totalsRowShown="0">
  <x:autoFilter ref="A4:L19"/>
  <x:tableColumns count="12">
    <x:tableColumn id="1" name="补充项ID"/>
    <x:tableColumn id="2" name="能力状态"/>
    <x:tableColumn id="3" name="角色"/>
    <x:tableColumn id="4" name="入口ID"/>
    <x:tableColumn id="5" name="功能"/>
    <x:tableColumn id="6" name="当前缺口"/>
    <x:tableColumn id="7" name="客户必补方式"/>
    <x:tableColumn id="8" name="需要客户提供的内容"/>
    <x:tableColumn id="9" name="建议格式"/>
    <x:tableColumn id="10" name="优先级"/>
    <x:tableColumn id="11" name="确认状态"/>
    <x:tableColumn id="12" name="备注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f1c479950245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bece20d56747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6c5ef7ea824c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28" hidden="0" customWidth="1"/>
    <x:col min="5" max="5" width="18" hidden="0" customWidth="1"/>
    <x:col min="6" max="6" width="12" hidden="0" customWidth="1"/>
    <x:col min="7" max="7" width="16" hidden="0" customWidth="1"/>
    <x:col min="8" max="8" width="24" hidden="0" customWidth="1"/>
  </x:cols>
  <x:sheetData>
    <x:row r="1" ht="35" customHeight="1">
      <x:c r="A1" s="540" t="str">
        <x:v>会展中心四角色智能体—功能与反馈缺口总览</x:v>
      </x:c>
      <x:c r="B1" s="541"/>
      <x:c r="C1" s="541"/>
      <x:c r="D1" s="541"/>
      <x:c r="E1" s="541"/>
      <x:c r="F1" s="541"/>
      <x:c r="G1" s="541"/>
      <x:c r="H1" s="542"/>
    </x:row>
    <x:row r="2" ht="31" customHeight="1">
      <x:c r="A2" s="546" t="str">
        <x:v>评审版 v1.0｜检查日期 2026-08-28｜源 Excel 第一张表为唯一角色功能矩阵；可复用能力不列入客户必补。</x:v>
      </x:c>
      <x:c r="B2" s="547"/>
      <x:c r="C2" s="547"/>
      <x:c r="D2" s="547"/>
      <x:c r="E2" s="547"/>
      <x:c r="F2" s="547"/>
      <x:c r="G2" s="547"/>
      <x:c r="H2" s="548"/>
    </x:row>
    <x:row r="3">
      <x:c r="A3" s="502"/>
      <x:c r="B3" s="503"/>
      <x:c r="C3" s="503"/>
      <x:c r="D3" s="503"/>
      <x:c r="E3" s="503"/>
      <x:c r="F3" s="503"/>
      <x:c r="G3" s="503"/>
      <x:c r="H3" s="504"/>
    </x:row>
    <x:row r="4" ht="36" customHeight="1">
      <x:c r="A4" s="549" t="str">
        <x:v>检查日期</x:v>
      </x:c>
      <x:c r="B4" s="550" t="str">
        <x:v>2026-08-28</x:v>
      </x:c>
      <x:c r="C4" s="551" t="str">
        <x:v>角色数</x:v>
      </x:c>
      <x:c r="D4" s="550" t="n">
        <x:v>4</x:v>
      </x:c>
      <x:c r="E4" s="551" t="str">
        <x:v>角色入口实例</x:v>
      </x:c>
      <x:c r="F4" s="550" t="n">
        <x:v>36</x:v>
      </x:c>
      <x:c r="G4" s="551" t="str">
        <x:v>不同功能名</x:v>
      </x:c>
      <x:c r="H4" s="552" t="n">
        <x:v>23</x:v>
      </x:c>
    </x:row>
    <x:row r="5">
      <x:c r="A5" s="502"/>
      <x:c r="B5" s="503"/>
      <x:c r="C5" s="503"/>
      <x:c r="D5" s="503"/>
      <x:c r="E5" s="503"/>
      <x:c r="F5" s="503"/>
      <x:c r="G5" s="503"/>
      <x:c r="H5" s="504"/>
    </x:row>
    <x:row r="6" ht="25" customHeight="1">
      <x:c r="A6" s="556" t="str">
        <x:v>四角色入口实例数</x:v>
      </x:c>
      <x:c r="B6" s="557"/>
      <x:c r="C6" s="557"/>
      <x:c r="D6" s="557"/>
      <x:c r="E6" s="557"/>
      <x:c r="F6" s="557"/>
      <x:c r="G6" s="557"/>
      <x:c r="H6" s="558"/>
    </x:row>
    <x:row r="7" ht="38" customHeight="1">
      <x:c r="A7" s="560" t="str">
        <x:v>普通用户</x:v>
      </x:c>
      <x:c r="B7" s="561" t="n">
        <x:f>COUNTIF('角色功能矩阵'!$B$5:$B$40,A7)</x:f>
        <x:v>10</x:v>
      </x:c>
      <x:c r="C7" s="562" t="str">
        <x:v>展商</x:v>
      </x:c>
      <x:c r="D7" s="561" t="n">
        <x:f>COUNTIF('角色功能矩阵'!$B$5:$B$40,C7)</x:f>
        <x:v>10</x:v>
      </x:c>
      <x:c r="E7" s="562" t="str">
        <x:v>客商</x:v>
      </x:c>
      <x:c r="F7" s="561" t="n">
        <x:f>COUNTIF('角色功能矩阵'!$B$5:$B$40,E7)</x:f>
        <x:v>9</x:v>
      </x:c>
      <x:c r="G7" s="562" t="str">
        <x:v>媒体</x:v>
      </x:c>
      <x:c r="H7" s="563" t="n">
        <x:f>COUNTIF('角色功能矩阵'!$B$5:$B$40,G7)</x:f>
        <x:v>7</x:v>
      </x:c>
    </x:row>
    <x:row r="8">
      <x:c r="A8" s="502"/>
      <x:c r="B8" s="503"/>
      <x:c r="C8" s="503"/>
      <x:c r="D8" s="503"/>
      <x:c r="E8" s="503"/>
      <x:c r="F8" s="503"/>
      <x:c r="G8" s="503"/>
      <x:c r="H8" s="504"/>
    </x:row>
    <x:row r="9" ht="25" customHeight="1">
      <x:c r="A9" s="556" t="str">
        <x:v>能力复用结论</x:v>
      </x:c>
      <x:c r="B9" s="557"/>
      <x:c r="C9" s="557"/>
      <x:c r="D9" s="557"/>
      <x:c r="E9" s="559" t="str">
        <x:v>客户必补方式统计</x:v>
      </x:c>
      <x:c r="F9" s="559"/>
      <x:c r="G9" s="559"/>
      <x:c r="H9" s="558"/>
    </x:row>
    <x:row r="10" ht="31" customHeight="1">
      <x:c r="A10" s="564" t="str">
        <x:v>可复用</x:v>
      </x:c>
      <x:c r="B10" s="565" t="n">
        <x:f>COUNTIF('角色功能矩阵'!$G$5:$G$40,A10)</x:f>
        <x:v>21</x:v>
      </x:c>
      <x:c r="C10" s="566" t="n">
        <x:f>B10/$B$13</x:f>
        <x:v>0.5833333333333334</x:v>
      </x:c>
      <x:c r="D10" s="567" t="str">
        <x:v>现网可进入目标页面或返回有效业务反馈</x:v>
      </x:c>
      <x:c r="E10" s="567" t="str">
        <x:v>跳转URL</x:v>
      </x:c>
      <x:c r="F10" s="565" t="n">
        <x:f>COUNTIF('角色功能矩阵'!$H$5:$H$40,E10)</x:f>
        <x:v>11</x:v>
      </x:c>
      <x:c r="G10" s="566" t="n">
        <x:f>F10/$F$12</x:f>
        <x:v>0.7333333333333333</x:v>
      </x:c>
      <x:c r="H10" s="567" t="str">
        <x:v>正式可访问地址及权限/失败状态</x:v>
      </x:c>
    </x:row>
    <x:row r="11" ht="31" customHeight="1">
      <x:c r="A11" s="568" t="str">
        <x:v>不可复用</x:v>
      </x:c>
      <x:c r="B11" s="569" t="n">
        <x:f>COUNTIF('角色功能矩阵'!$G$5:$G$40,A11)</x:f>
        <x:v>4</x:v>
      </x:c>
      <x:c r="C11" s="570" t="n">
        <x:f>B11/$B$13</x:f>
        <x:v>0.1111111111111111</x:v>
      </x:c>
      <x:c r="D11" s="571" t="str">
        <x:v>现网异常占位，不能作为有效业务反馈</x:v>
      </x:c>
      <x:c r="E11" s="571" t="str">
        <x:v>对话语料/结构化数据</x:v>
      </x:c>
      <x:c r="F11" s="569" t="n">
        <x:f>COUNTIF('角色功能矩阵'!$H$5:$H$40,E11)</x:f>
        <x:v>4</x:v>
      </x:c>
      <x:c r="G11" s="570" t="n">
        <x:f>F11/$F$12</x:f>
        <x:v>0.26666666666666666</x:v>
      </x:c>
      <x:c r="H11" s="571" t="str">
        <x:v>问答语料、结构化数据、规则及空状态</x:v>
      </x:c>
    </x:row>
    <x:row r="12" ht="31" customHeight="1">
      <x:c r="A12" s="572" t="str">
        <x:v>完全新增</x:v>
      </x:c>
      <x:c r="B12" s="573" t="n">
        <x:f>COUNTIF('角色功能矩阵'!$G$5:$G$40,A12)</x:f>
        <x:v>11</x:v>
      </x:c>
      <x:c r="C12" s="574" t="n">
        <x:f>B12/$B$13</x:f>
        <x:v>0.3055555555555556</x:v>
      </x:c>
      <x:c r="D12" s="575" t="str">
        <x:v>目标矩阵新增，现网没有对应能力</x:v>
      </x:c>
      <x:c r="E12" s="575" t="str">
        <x:v>合计</x:v>
      </x:c>
      <x:c r="F12" s="573" t="n">
        <x:f>SUM(F10:F11)</x:f>
        <x:v>15</x:v>
      </x:c>
      <x:c r="G12" s="574" t="n">
        <x:f>SUM(G10:G11)</x:f>
        <x:v>1</x:v>
      </x:c>
      <x:c r="H12" s="575" t="str">
        <x:v>仅统计不可复用与完全新增入口</x:v>
      </x:c>
    </x:row>
    <x:row r="13" ht="31" customHeight="1">
      <x:c r="A13" s="572" t="str">
        <x:v>合计</x:v>
      </x:c>
      <x:c r="B13" s="573" t="n">
        <x:f>SUM(B10:B12)</x:f>
        <x:v>36</x:v>
      </x:c>
      <x:c r="C13" s="574" t="n">
        <x:f>SUM(C10:C12)</x:f>
        <x:v>1</x:v>
      </x:c>
      <x:c r="D13" s="575" t="str">
        <x:v>共 36 个角色入口实例</x:v>
      </x:c>
      <x:c r="E13" s="503"/>
      <x:c r="F13" s="503"/>
      <x:c r="G13" s="503"/>
      <x:c r="H13" s="504"/>
    </x:row>
    <x:row r="14" ht="31" customHeight="1">
      <x:c r="A14" s="516"/>
      <x:c r="B14" s="517"/>
      <x:c r="C14" s="518"/>
      <x:c r="D14" s="519"/>
      <x:c r="E14" s="503"/>
      <x:c r="F14" s="503"/>
      <x:c r="G14" s="503"/>
      <x:c r="H14" s="504"/>
    </x:row>
    <x:row r="15">
      <x:c r="A15" s="502"/>
      <x:c r="B15" s="503"/>
      <x:c r="C15" s="503"/>
      <x:c r="D15" s="503"/>
      <x:c r="E15" s="503"/>
      <x:c r="F15" s="503"/>
      <x:c r="G15" s="503"/>
      <x:c r="H15" s="504"/>
    </x:row>
    <x:row r="16" ht="25" customHeight="1">
      <x:c r="A16" s="556" t="str">
        <x:v>数据质量校验</x:v>
      </x:c>
      <x:c r="B16" s="557"/>
      <x:c r="C16" s="557"/>
      <x:c r="D16" s="557"/>
      <x:c r="E16" s="557"/>
      <x:c r="F16" s="557"/>
      <x:c r="G16" s="557"/>
      <x:c r="H16" s="558"/>
    </x:row>
    <x:row r="17" ht="33" customHeight="1">
      <x:c r="A17" s="576" t="str">
        <x:v>检查项</x:v>
      </x:c>
      <x:c r="B17" s="577" t="str">
        <x:v>实际值</x:v>
      </x:c>
      <x:c r="C17" s="577" t="str">
        <x:v>预期值</x:v>
      </x:c>
      <x:c r="D17" s="577" t="str">
        <x:v>结果</x:v>
      </x:c>
      <x:c r="E17" s="577" t="str">
        <x:v>检查项</x:v>
      </x:c>
      <x:c r="F17" s="577" t="str">
        <x:v>实际值</x:v>
      </x:c>
      <x:c r="G17" s="577" t="str">
        <x:v>预期值</x:v>
      </x:c>
      <x:c r="H17" s="577" t="str">
        <x:v>结果</x:v>
      </x:c>
    </x:row>
    <x:row r="18" ht="29" customHeight="1">
      <x:c r="A18" s="564" t="str">
        <x:v>入口ID数</x:v>
      </x:c>
      <x:c r="B18" s="565" t="n">
        <x:f>COUNTA('角色功能矩阵'!$A$5:$A$40)</x:f>
        <x:v>36</x:v>
      </x:c>
      <x:c r="C18" s="565" t="n">
        <x:v>36</x:v>
      </x:c>
      <x:c r="D18" s="565" t="str">
        <x:f>IF(B18=C18,"通过","检查")</x:f>
        <x:v>通过</x:v>
      </x:c>
      <x:c r="E18" s="567" t="str">
        <x:v>入口分区数</x:v>
      </x:c>
      <x:c r="F18" s="565" t="n">
        <x:f>COUNTIF('角色功能矩阵'!$F$5:$F$40,"上方图标区")+COUNTIF('角色功能矩阵'!$F$5:$F$40,"输入框快捷区")</x:f>
        <x:v>36</x:v>
      </x:c>
      <x:c r="G18" s="565" t="n">
        <x:v>36</x:v>
      </x:c>
      <x:c r="H18" s="565" t="str">
        <x:f>IF(F18=G18,"通过","检查")</x:f>
        <x:v>通过</x:v>
      </x:c>
    </x:row>
    <x:row r="19" ht="29" customHeight="1">
      <x:c r="A19" s="568" t="str">
        <x:v>角色行数</x:v>
      </x:c>
      <x:c r="B19" s="569" t="n">
        <x:f>COUNTA('角色功能矩阵'!$B$5:$B$40)</x:f>
        <x:v>36</x:v>
      </x:c>
      <x:c r="C19" s="569" t="n">
        <x:v>36</x:v>
      </x:c>
      <x:c r="D19" s="569" t="str">
        <x:f>IF(B19=C19,"通过","检查")</x:f>
        <x:v>通过</x:v>
      </x:c>
      <x:c r="E19" s="571" t="str">
        <x:v>反馈记录数</x:v>
      </x:c>
      <x:c r="F19" s="569" t="n">
        <x:f>COUNTA('现网点击反馈'!$D$5:$D$30)</x:f>
        <x:v>26</x:v>
      </x:c>
      <x:c r="G19" s="569" t="n">
        <x:v>26</x:v>
      </x:c>
      <x:c r="H19" s="569" t="str">
        <x:f>IF(F19=G19,"通过","检查")</x:f>
        <x:v>通过</x:v>
      </x:c>
    </x:row>
    <x:row r="20" ht="29" customHeight="1">
      <x:c r="A20" s="568" t="str">
        <x:v>缺口记录数</x:v>
      </x:c>
      <x:c r="B20" s="569" t="n">
        <x:f>COUNTA('待客户补充'!$A$5:$A$19)</x:f>
        <x:v>15</x:v>
      </x:c>
      <x:c r="C20" s="569" t="n">
        <x:v>15</x:v>
      </x:c>
      <x:c r="D20" s="569" t="str">
        <x:f>IF(B20=C20,"通过","检查")</x:f>
        <x:v>通过</x:v>
      </x:c>
      <x:c r="E20" s="571" t="str">
        <x:v>不同功能名</x:v>
      </x:c>
      <x:c r="F20" s="569" t="n">
        <x:f>COUNTA('角色功能矩阵'!$D$5:$D$40)-13</x:f>
        <x:v>23</x:v>
      </x:c>
      <x:c r="G20" s="569" t="n">
        <x:v>23</x:v>
      </x:c>
      <x:c r="H20" s="569" t="str">
        <x:f>IF(F20=G20,"通过","检查")</x:f>
        <x:v>通过</x:v>
      </x:c>
    </x:row>
    <x:row r="21">
      <x:c r="A21" s="502"/>
      <x:c r="B21" s="503"/>
      <x:c r="C21" s="503"/>
      <x:c r="D21" s="503"/>
      <x:c r="E21" s="503"/>
      <x:c r="F21" s="503"/>
      <x:c r="G21" s="503"/>
      <x:c r="H21" s="504"/>
    </x:row>
    <x:row r="22" ht="25" customHeight="1">
      <x:c r="A22" s="556" t="str">
        <x:v>主要现网问题</x:v>
      </x:c>
      <x:c r="B22" s="557"/>
      <x:c r="C22" s="557"/>
      <x:c r="D22" s="557"/>
      <x:c r="E22" s="557"/>
      <x:c r="F22" s="557"/>
      <x:c r="G22" s="557"/>
      <x:c r="H22" s="558"/>
    </x:row>
    <x:row r="23" ht="30" customHeight="1">
      <x:c r="A23" s="578" t="str">
        <x:v>1. role=exhibitor 实际显示媒体风格能力，与 Excel 展商功能矩阵不符。</x:v>
      </x:c>
      <x:c r="B23" s="579"/>
      <x:c r="C23" s="579"/>
      <x:c r="D23" s="579"/>
      <x:c r="E23" s="579"/>
      <x:c r="F23" s="579"/>
      <x:c r="G23" s="579"/>
      <x:c r="H23" s="580"/>
    </x:row>
    <x:row r="24" ht="30" customHeight="1">
      <x:c r="A24" s="581" t="str">
        <x:v>2. 公共素材库返回 500 nginx；异常完整 URL、查询参数和鉴权值未保存。</x:v>
      </x:c>
      <x:c r="B24" s="582"/>
      <x:c r="C24" s="582"/>
      <x:c r="D24" s="582"/>
      <x:c r="E24" s="582"/>
      <x:c r="F24" s="582"/>
      <x:c r="G24" s="582"/>
      <x:c r="H24" s="583"/>
    </x:row>
    <x:row r="25" ht="30" customHeight="1">
      <x:c r="A25" s="581" t="str">
        <x:v>3. 一键亮码地址未配置；活动跳转无有效内容。</x:v>
      </x:c>
      <x:c r="B25" s="582"/>
      <x:c r="C25" s="582"/>
      <x:c r="D25" s="582"/>
      <x:c r="E25" s="582"/>
      <x:c r="F25" s="582"/>
      <x:c r="G25" s="582"/>
      <x:c r="H25" s="583"/>
    </x:row>
    <x:row r="26" ht="30" customHeight="1">
      <x:c r="A26" s="581" t="str">
        <x:v>4. 路线菜单及回复可复用，但路线按钮缺少跳转反馈。</x:v>
      </x:c>
      <x:c r="B26" s="582"/>
      <x:c r="C26" s="582"/>
      <x:c r="D26" s="582"/>
      <x:c r="E26" s="582"/>
      <x:c r="F26" s="582"/>
      <x:c r="G26" s="582"/>
      <x:c r="H26" s="583"/>
    </x:row>
    <x:row r="27" ht="30" customHeight="1">
      <x:c r="A27" s="581" t="str">
        <x:v>5. 数贸在线现网 href 尾部含异常标点；本清单未保存该完整异常 URL。</x:v>
      </x:c>
      <x:c r="B27" s="582"/>
      <x:c r="C27" s="582"/>
      <x:c r="D27" s="582"/>
      <x:c r="E27" s="582"/>
      <x:c r="F27" s="582"/>
      <x:c r="G27" s="582"/>
      <x:c r="H27" s="583"/>
    </x:row>
    <x:row r="28" ht="30" customHeight="1">
      <x:c r="A28" s="581" t="str">
        <x:v>6. 部分地图回复包含内部式指令文案风险，需清理对外文案。</x:v>
      </x:c>
      <x:c r="B28" s="582"/>
      <x:c r="C28" s="582"/>
      <x:c r="D28" s="582"/>
      <x:c r="E28" s="582"/>
      <x:c r="F28" s="582"/>
      <x:c r="G28" s="582"/>
      <x:c r="H28" s="583"/>
    </x:row>
    <x:row r="29" ht="30" customHeight="1">
      <x:c r="A29" s="581" t="str">
        <x:v>7. 客商/媒体专属新增能力已列为完全新增。</x:v>
      </x:c>
      <x:c r="B29" s="582"/>
      <x:c r="C29" s="582"/>
      <x:c r="D29" s="582"/>
      <x:c r="E29" s="582"/>
      <x:c r="F29" s="582"/>
      <x:c r="G29" s="582"/>
      <x:c r="H29" s="583"/>
    </x:row>
    <x:row r="30">
      <x:c r="A30" s="502"/>
      <x:c r="B30" s="503"/>
      <x:c r="C30" s="503"/>
      <x:c r="D30" s="503"/>
      <x:c r="E30" s="503"/>
      <x:c r="F30" s="503"/>
      <x:c r="G30" s="503"/>
      <x:c r="H30" s="504"/>
    </x:row>
    <x:row r="31" ht="25" customHeight="1">
      <x:c r="A31" s="556" t="str">
        <x:v>来源与口径</x:v>
      </x:c>
      <x:c r="B31" s="557"/>
      <x:c r="C31" s="557"/>
      <x:c r="D31" s="557"/>
      <x:c r="E31" s="557"/>
      <x:c r="F31" s="557"/>
      <x:c r="G31" s="557"/>
      <x:c r="H31" s="558"/>
    </x:row>
    <x:row r="32" ht="29" customHeight="1">
      <x:c r="A32" s="584" t="str">
        <x:v>参考矩阵</x:v>
      </x:c>
      <x:c r="B32" s="585"/>
      <x:c r="C32" s="567" t="str">
        <x:v>智能体鉴权20260818四个角色不同功能展示.xlsx（第一张表）</x:v>
      </x:c>
      <x:c r="D32" s="567"/>
      <x:c r="E32" s="567"/>
      <x:c r="F32" s="567"/>
      <x:c r="G32" s="567"/>
      <x:c r="H32" s="567"/>
    </x:row>
    <x:row r="33" ht="29" customHeight="1">
      <x:c r="A33" s="586" t="str">
        <x:v>普通用户页</x:v>
      </x:c>
      <x:c r="B33" s="573"/>
      <x:c r="C33" s="588" t="str">
        <x:v>https://voicehub.commind.com/hzzx/mobile/?role=visitor</x:v>
      </x:c>
      <x:c r="D33" s="588"/>
      <x:c r="E33" s="588"/>
      <x:c r="F33" s="588"/>
      <x:c r="G33" s="588"/>
      <x:c r="H33" s="588"/>
    </x:row>
    <x:row r="34" ht="29" customHeight="1">
      <x:c r="A34" s="586" t="str">
        <x:v>exhibitor 现网页</x:v>
      </x:c>
      <x:c r="B34" s="573"/>
      <x:c r="C34" s="588" t="str">
        <x:v>https://voicehub.commind.com/hzzx/mobile/?role=exhibitor</x:v>
      </x:c>
      <x:c r="D34" s="588"/>
      <x:c r="E34" s="588"/>
      <x:c r="F34" s="588"/>
      <x:c r="G34" s="588"/>
      <x:c r="H34" s="588"/>
    </x:row>
    <x:row r="35" ht="29" customHeight="1">
      <x:c r="A35" s="586" t="str">
        <x:v>证据口径</x:v>
      </x:c>
      <x:c r="B35" s="573"/>
      <x:c r="C35" s="571" t="str">
        <x:v>2026-08-28 实测样例，AI 输出可能变化；未提交表单、未写入外部业务、未测试真实麦克风授权。</x:v>
      </x:c>
      <x:c r="D35" s="571"/>
      <x:c r="E35" s="571"/>
      <x:c r="F35" s="571"/>
      <x:c r="G35" s="571"/>
      <x:c r="H35" s="571"/>
    </x:row>
    <x:row r="36" ht="29" customHeight="1">
      <x:c r="A36" s="586" t="str">
        <x:v>脱敏口径</x:v>
      </x:c>
      <x:c r="B36" s="573"/>
      <x:c r="C36" s="571" t="str">
        <x:v>动态鉴权值统一记为 &lt;已脱敏动态鉴权参数&gt;；不保存真实值、完整异常 URL 或内部式指令原文。</x:v>
      </x:c>
      <x:c r="D36" s="571"/>
      <x:c r="E36" s="571"/>
      <x:c r="F36" s="571"/>
      <x:c r="G36" s="571"/>
      <x:c r="H36" s="571"/>
    </x:row>
  </x:sheetData>
  <x:mergeCells>
    <x:mergeCell ref="A1:H1"/>
    <x:mergeCell ref="A2:H2"/>
    <x:mergeCell ref="A6:H6"/>
    <x:mergeCell ref="A9:D9"/>
    <x:mergeCell ref="E9:H9"/>
    <x:mergeCell ref="A16:H16"/>
    <x:mergeCell ref="A22:H22"/>
    <x:mergeCell ref="A23:H23"/>
    <x:mergeCell ref="A24:H24"/>
    <x:mergeCell ref="A25:H25"/>
    <x:mergeCell ref="A26:H26"/>
    <x:mergeCell ref="A27:H27"/>
    <x:mergeCell ref="A28:H28"/>
    <x:mergeCell ref="A29:H29"/>
    <x:mergeCell ref="A31:H31"/>
    <x:mergeCell ref="A32:B32"/>
    <x:mergeCell ref="C32:H32"/>
    <x:mergeCell ref="A33:B33"/>
    <x:mergeCell ref="C33:H33"/>
    <x:mergeCell ref="A34:B34"/>
    <x:mergeCell ref="C34:H34"/>
    <x:mergeCell ref="A35:B35"/>
    <x:mergeCell ref="C35:H35"/>
    <x:mergeCell ref="A36:B36"/>
    <x:mergeCell ref="C36:H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7" hidden="0" customWidth="1"/>
    <x:col min="4" max="4" width="15" hidden="0" customWidth="1"/>
    <x:col min="5" max="5" width="36" hidden="0" customWidth="1"/>
    <x:col min="6" max="6" width="17" hidden="0" customWidth="1"/>
    <x:col min="7" max="7" width="15" hidden="0" customWidth="1"/>
    <x:col min="8" max="8" width="17.219999313354492" hidden="0" customWidth="1"/>
    <x:col min="9" max="9" width="34.439998626708984" hidden="0" customWidth="1"/>
    <x:col min="10" max="10" width="10.5600004196167" hidden="0" customWidth="1"/>
    <x:col min="11" max="11" width="20.559999465942383" hidden="0" customWidth="1"/>
  </x:cols>
  <x:sheetData>
    <x:row r="1" ht="35" customHeight="1">
      <x:c r="A1" s="540" t="str">
        <x:v>四角色功能矩阵</x:v>
      </x:c>
      <x:c r="B1" s="541"/>
      <x:c r="C1" s="541"/>
      <x:c r="D1" s="541"/>
      <x:c r="E1" s="541"/>
      <x:c r="F1" s="541"/>
      <x:c r="G1" s="541"/>
      <x:c r="H1" s="541"/>
      <x:c r="I1" s="541"/>
      <x:c r="J1" s="541"/>
      <x:c r="K1" s="542"/>
    </x:row>
    <x:row r="2" ht="31" customHeight="1">
      <x:c r="A2" s="546" t="str">
        <x:v>源 Excel 第一张表共 36 个角色入口实例、23 个不同功能名；黑字=上方大图标区，红字=输入框上方快捷区。能力复用结论按可复用、不可复用、完全新增统一记录。</x:v>
      </x:c>
      <x:c r="B2" s="547"/>
      <x:c r="C2" s="547"/>
      <x:c r="D2" s="547"/>
      <x:c r="E2" s="547"/>
      <x:c r="F2" s="547"/>
      <x:c r="G2" s="547"/>
      <x:c r="H2" s="547"/>
      <x:c r="I2" s="547"/>
      <x:c r="J2" s="547"/>
      <x:c r="K2" s="548"/>
    </x:row>
    <x:row r="3">
      <x:c r="A3" s="502"/>
      <x:c r="B3" s="503"/>
      <x:c r="C3" s="503"/>
      <x:c r="D3" s="503"/>
      <x:c r="E3" s="503"/>
      <x:c r="F3" s="503"/>
      <x:c r="G3" s="503"/>
      <x:c r="H3" s="503"/>
      <x:c r="I3" s="503"/>
      <x:c r="J3" s="503"/>
      <x:c r="K3" s="504"/>
    </x:row>
    <x:row r="4" ht="33" customHeight="1">
      <x:c r="A4" s="576" t="str">
        <x:v>入口ID</x:v>
      </x:c>
      <x:c r="B4" s="577" t="str">
        <x:v>角色</x:v>
      </x:c>
      <x:c r="C4" s="577" t="str">
        <x:v>序号</x:v>
      </x:c>
      <x:c r="D4" s="577" t="str">
        <x:v>功能</x:v>
      </x:c>
      <x:c r="E4" s="577" t="str">
        <x:v>描述</x:v>
      </x:c>
      <x:c r="F4" s="577" t="str">
        <x:v>入口位置</x:v>
      </x:c>
      <x:c r="G4" s="577" t="str">
        <x:v>能力复用结论</x:v>
      </x:c>
      <x:c r="H4" s="577" t="str">
        <x:v>客户必补方式</x:v>
      </x:c>
      <x:c r="I4" s="577" t="str">
        <x:v>原型处理</x:v>
      </x:c>
      <x:c r="J4" s="577" t="str">
        <x:v>补充项ID</x:v>
      </x:c>
      <x:c r="K4" s="577" t="str">
        <x:v>判断依据</x:v>
      </x:c>
    </x:row>
    <x:row r="5" ht="57" customHeight="1">
      <x:c r="A5" s="649" t="str">
        <x:v>V01</x:v>
      </x:c>
      <x:c r="B5" s="650" t="str">
        <x:v>普通用户</x:v>
      </x:c>
      <x:c r="C5" s="650" t="n">
        <x:v>1</x:v>
      </x:c>
      <x:c r="D5" s="651" t="str">
        <x:v>展会速览</x:v>
      </x:c>
      <x:c r="E5" s="652" t="str">
        <x:v>了解本届数贸会亮点与规模</x:v>
      </x:c>
      <x:c r="F5" s="653" t="str">
        <x:v>上方图标区</x:v>
      </x:c>
      <x:c r="G5" s="654" t="str">
        <x:v>可复用</x:v>
      </x:c>
      <x:c r="H5" s="654" t="str">
        <x:v>无需本期补充</x:v>
      </x:c>
      <x:c r="I5" s="655" t="str">
        <x:v>对话回复｜展示本届数贸会亮点、规模、时间与地点概览</x:v>
      </x:c>
      <x:c r="J5" s="654" t="str">
        <x:v>—</x:v>
      </x:c>
      <x:c r="K5" s="656" t="str">
        <x:v>2026-08-28 现网有效反馈</x:v>
      </x:c>
    </x:row>
    <x:row r="6" ht="57" customHeight="1">
      <x:c r="A6" s="657" t="str">
        <x:v>V02</x:v>
      </x:c>
      <x:c r="B6" s="658" t="str">
        <x:v>普通用户</x:v>
      </x:c>
      <x:c r="C6" s="658" t="n">
        <x:v>2</x:v>
      </x:c>
      <x:c r="D6" s="659" t="str">
        <x:v>展区介绍</x:v>
      </x:c>
      <x:c r="E6" s="660" t="str">
        <x:v>了解 8 大展区</x:v>
      </x:c>
      <x:c r="F6" s="661" t="str">
        <x:v>上方图标区</x:v>
      </x:c>
      <x:c r="G6" s="662" t="str">
        <x:v>可复用</x:v>
      </x:c>
      <x:c r="H6" s="662" t="str">
        <x:v>无需本期补充</x:v>
      </x:c>
      <x:c r="I6" s="663" t="str">
        <x:v>对话回复｜展示主题展区、重点板块与代表内容</x:v>
      </x:c>
      <x:c r="J6" s="662" t="str">
        <x:v>—</x:v>
      </x:c>
      <x:c r="K6" s="664" t="str">
        <x:v>2026-08-28 现网有效反馈</x:v>
      </x:c>
    </x:row>
    <x:row r="7" ht="57" customHeight="1">
      <x:c r="A7" s="657" t="str">
        <x:v>V03</x:v>
      </x:c>
      <x:c r="B7" s="658" t="str">
        <x:v>普通用户</x:v>
      </x:c>
      <x:c r="C7" s="658" t="n">
        <x:v>3</x:v>
      </x:c>
      <x:c r="D7" s="659" t="str">
        <x:v>活动日程</x:v>
      </x:c>
      <x:c r="E7" s="660" t="str">
        <x:v>查询各类活动时间</x:v>
      </x:c>
      <x:c r="F7" s="661" t="str">
        <x:v>上方图标区</x:v>
      </x:c>
      <x:c r="G7" s="662" t="str">
        <x:v>可复用</x:v>
      </x:c>
      <x:c r="H7" s="662" t="str">
        <x:v>无需本期补充</x:v>
      </x:c>
      <x:c r="I7" s="663" t="str">
        <x:v>对话回复｜展示举办日期及活动日程状态说明</x:v>
      </x:c>
      <x:c r="J7" s="662" t="str">
        <x:v>—</x:v>
      </x:c>
      <x:c r="K7" s="664" t="str">
        <x:v>2026-08-28 现网有效反馈</x:v>
      </x:c>
    </x:row>
    <x:row r="8" ht="57" customHeight="1">
      <x:c r="A8" s="657" t="str">
        <x:v>V04</x:v>
      </x:c>
      <x:c r="B8" s="658" t="str">
        <x:v>普通用户</x:v>
      </x:c>
      <x:c r="C8" s="658" t="n">
        <x:v>4</x:v>
      </x:c>
      <x:c r="D8" s="659" t="str">
        <x:v>展商推荐</x:v>
      </x:c>
      <x:c r="E8" s="660" t="str">
        <x:v>基于兴趣标签的个性化展商推荐</x:v>
      </x:c>
      <x:c r="F8" s="661" t="str">
        <x:v>上方图标区</x:v>
      </x:c>
      <x:c r="G8" s="662" t="str">
        <x:v>可复用</x:v>
      </x:c>
      <x:c r="H8" s="662" t="str">
        <x:v>无需本期补充</x:v>
      </x:c>
      <x:c r="I8" s="663" t="str">
        <x:v>推荐列表｜按兴趣分组展示展商，并支持换一批</x:v>
      </x:c>
      <x:c r="J8" s="662" t="str">
        <x:v>—</x:v>
      </x:c>
      <x:c r="K8" s="664" t="str">
        <x:v>2026-08-28 现网有效反馈</x:v>
      </x:c>
    </x:row>
    <x:row r="9" ht="57" customHeight="1">
      <x:c r="A9" s="657" t="str">
        <x:v>V05</x:v>
      </x:c>
      <x:c r="B9" s="658" t="str">
        <x:v>普通用户</x:v>
      </x:c>
      <x:c r="C9" s="658" t="n">
        <x:v>5</x:v>
      </x:c>
      <x:c r="D9" s="659" t="str">
        <x:v>首发首秀</x:v>
      </x:c>
      <x:c r="E9" s="660" t="str">
        <x:v>展示本届首发首秀首展新品</x:v>
      </x:c>
      <x:c r="F9" s="661" t="str">
        <x:v>上方图标区</x:v>
      </x:c>
      <x:c r="G9" s="662" t="str">
        <x:v>可复用</x:v>
      </x:c>
      <x:c r="H9" s="662" t="str">
        <x:v>无需本期补充</x:v>
      </x:c>
      <x:c r="I9" s="663" t="str">
        <x:v>推荐列表｜按展区展示首发首秀企业与项目样例</x:v>
      </x:c>
      <x:c r="J9" s="662" t="str">
        <x:v>—</x:v>
      </x:c>
      <x:c r="K9" s="664" t="str">
        <x:v>2026-08-28 现网有效反馈</x:v>
      </x:c>
    </x:row>
    <x:row r="10" ht="57" customHeight="1">
      <x:c r="A10" s="657" t="str">
        <x:v>V06</x:v>
      </x:c>
      <x:c r="B10" s="658" t="str">
        <x:v>普通用户</x:v>
      </x:c>
      <x:c r="C10" s="658" t="n">
        <x:v>6</x:v>
      </x:c>
      <x:c r="D10" s="659" t="str">
        <x:v>伴游导航</x:v>
      </x:c>
      <x:c r="E10" s="660" t="str">
        <x:v>展区/展位/服务设施室内外一体化导航</x:v>
      </x:c>
      <x:c r="F10" s="661" t="str">
        <x:v>上方图标区</x:v>
      </x:c>
      <x:c r="G10" s="662" t="str">
        <x:v>可复用</x:v>
      </x:c>
      <x:c r="H10" s="662" t="str">
        <x:v>无需本期补充</x:v>
      </x:c>
      <x:c r="I10" s="663" t="str">
        <x:v>内部功能页｜展示服务台、停车场、洗手间和交通方式；路线按钮展示明确状态</x:v>
      </x:c>
      <x:c r="J10" s="662" t="str">
        <x:v>—</x:v>
      </x:c>
      <x:c r="K10" s="664" t="str">
        <x:v>2026-08-28 现网有效反馈</x:v>
      </x:c>
    </x:row>
    <x:row r="11" ht="57" customHeight="1">
      <x:c r="A11" s="657" t="str">
        <x:v>V07</x:v>
      </x:c>
      <x:c r="B11" s="658" t="str">
        <x:v>普通用户</x:v>
      </x:c>
      <x:c r="C11" s="658" t="n">
        <x:v>7</x:v>
      </x:c>
      <x:c r="D11" s="659" t="str">
        <x:v>打卡活动</x:v>
      </x:c>
      <x:c r="E11" s="660" t="str">
        <x:v>逛展打卡互动游戏</x:v>
      </x:c>
      <x:c r="F11" s="661" t="str">
        <x:v>输入框快捷区</x:v>
      </x:c>
      <x:c r="G11" s="662" t="str">
        <x:v>完全新增</x:v>
      </x:c>
      <x:c r="H11" s="662" t="str">
        <x:v>跳转URL</x:v>
      </x:c>
      <x:c r="I11" s="663" t="str">
        <x:v>外部入口｜展示打卡活动入口，点击后进入客户提供的正式活动页面</x:v>
      </x:c>
      <x:c r="J11" s="662" t="str">
        <x:v>C001</x:v>
      </x:c>
      <x:c r="K11" s="664" t="str">
        <x:v>目标矩阵新增</x:v>
      </x:c>
    </x:row>
    <x:row r="12" ht="57" customHeight="1">
      <x:c r="A12" s="657" t="str">
        <x:v>V08</x:v>
      </x:c>
      <x:c r="B12" s="658" t="str">
        <x:v>普通用户</x:v>
      </x:c>
      <x:c r="C12" s="658" t="n">
        <x:v>8</x:v>
      </x:c>
      <x:c r="D12" s="659" t="str">
        <x:v>订餐服务</x:v>
      </x:c>
      <x:c r="E12" s="660" t="str">
        <x:v>展馆内餐饮预订与推荐</x:v>
      </x:c>
      <x:c r="F12" s="661" t="str">
        <x:v>输入框快捷区</x:v>
      </x:c>
      <x:c r="G12" s="662" t="str">
        <x:v>可复用</x:v>
      </x:c>
      <x:c r="H12" s="662" t="str">
        <x:v>无需本期补充</x:v>
      </x:c>
      <x:c r="I12" s="663" t="str">
        <x:v>推荐列表｜展示餐饮推荐样例，不模拟真实预订</x:v>
      </x:c>
      <x:c r="J12" s="662" t="str">
        <x:v>—</x:v>
      </x:c>
      <x:c r="K12" s="664" t="str">
        <x:v>2026-08-28 现网有效反馈</x:v>
      </x:c>
    </x:row>
    <x:row r="13" ht="57" customHeight="1">
      <x:c r="A13" s="657" t="str">
        <x:v>V09</x:v>
      </x:c>
      <x:c r="B13" s="658" t="str">
        <x:v>普通用户</x:v>
      </x:c>
      <x:c r="C13" s="658" t="n">
        <x:v>9</x:v>
      </x:c>
      <x:c r="D13" s="659" t="str">
        <x:v>通用权益</x:v>
      </x:c>
      <x:c r="E13" s="660" t="str">
        <x:v>展示用户的权益入口</x:v>
      </x:c>
      <x:c r="F13" s="661" t="str">
        <x:v>输入框快捷区</x:v>
      </x:c>
      <x:c r="G13" s="662" t="str">
        <x:v>完全新增</x:v>
      </x:c>
      <x:c r="H13" s="662" t="str">
        <x:v>跳转URL</x:v>
      </x:c>
      <x:c r="I13" s="663" t="str">
        <x:v>外部入口｜展示通用权益入口，点击后进入客户提供的正式权益页面</x:v>
      </x:c>
      <x:c r="J13" s="662" t="str">
        <x:v>C002</x:v>
      </x:c>
      <x:c r="K13" s="664" t="str">
        <x:v>目标矩阵新增</x:v>
      </x:c>
    </x:row>
    <x:row r="14" ht="57" customHeight="1">
      <x:c r="A14" s="657" t="str">
        <x:v>V10</x:v>
      </x:c>
      <x:c r="B14" s="658" t="str">
        <x:v>普通用户</x:v>
      </x:c>
      <x:c r="C14" s="658" t="n">
        <x:v>10</x:v>
      </x:c>
      <x:c r="D14" s="659" t="str">
        <x:v>一键亮码</x:v>
      </x:c>
      <x:c r="E14" s="660" t="str">
        <x:v>一键展示入场码</x:v>
      </x:c>
      <x:c r="F14" s="661" t="str">
        <x:v>上方图标区</x:v>
      </x:c>
      <x:c r="G14" s="662" t="str">
        <x:v>不可复用</x:v>
      </x:c>
      <x:c r="H14" s="662" t="str">
        <x:v>跳转URL</x:v>
      </x:c>
      <x:c r="I14" s="663" t="str">
        <x:v>外部入口｜保留一键亮码入口；配置正式地址后跳转，失败时展示明确状态</x:v>
      </x:c>
      <x:c r="J14" s="662" t="str">
        <x:v>C003</x:v>
      </x:c>
      <x:c r="K14" s="664" t="str">
        <x:v>2026-08-28 现网异常</x:v>
      </x:c>
    </x:row>
    <x:row r="15" ht="57" customHeight="1">
      <x:c r="A15" s="657" t="str">
        <x:v>E01</x:v>
      </x:c>
      <x:c r="B15" s="658" t="str">
        <x:v>展商</x:v>
      </x:c>
      <x:c r="C15" s="658" t="n">
        <x:v>1</x:v>
      </x:c>
      <x:c r="D15" s="659" t="str">
        <x:v>产业对接</x:v>
      </x:c>
      <x:c r="E15" s="660" t="str">
        <x:v>推荐匹配的产业对接会、投融资活动</x:v>
      </x:c>
      <x:c r="F15" s="661" t="str">
        <x:v>上方图标区</x:v>
      </x:c>
      <x:c r="G15" s="662" t="str">
        <x:v>可复用</x:v>
      </x:c>
      <x:c r="H15" s="662" t="str">
        <x:v>无需本期补充</x:v>
      </x:c>
      <x:c r="I15" s="663" t="str">
        <x:v>推荐列表｜展示产业对接活动摘要及参与信息</x:v>
      </x:c>
      <x:c r="J15" s="662" t="str">
        <x:v>—</x:v>
      </x:c>
      <x:c r="K15" s="664" t="str">
        <x:v>2026-08-28 共用能力有效反馈</x:v>
      </x:c>
    </x:row>
    <x:row r="16" ht="57" customHeight="1">
      <x:c r="A16" s="657" t="str">
        <x:v>E02</x:v>
      </x:c>
      <x:c r="B16" s="658" t="str">
        <x:v>展商</x:v>
      </x:c>
      <x:c r="C16" s="658" t="n">
        <x:v>2</x:v>
      </x:c>
      <x:c r="D16" s="659" t="str">
        <x:v>供采大厅</x:v>
      </x:c>
      <x:c r="E16" s="660" t="str">
        <x:v>链接数贸在线供采大厅，查看与发布供需信息</x:v>
      </x:c>
      <x:c r="F16" s="661" t="str">
        <x:v>上方图标区</x:v>
      </x:c>
      <x:c r="G16" s="662" t="str">
        <x:v>可复用</x:v>
      </x:c>
      <x:c r="H16" s="662" t="str">
        <x:v>无需本期补充</x:v>
      </x:c>
      <x:c r="I16" s="663" t="str">
        <x:v>外部链接｜进入数贸在线供采大厅并展示异常反馈</x:v>
      </x:c>
      <x:c r="J16" s="662" t="str">
        <x:v>—</x:v>
      </x:c>
      <x:c r="K16" s="664" t="str">
        <x:v>2026-08-28 共用能力有效反馈</x:v>
      </x:c>
    </x:row>
    <x:row r="17" ht="57" customHeight="1">
      <x:c r="A17" s="657" t="str">
        <x:v>E03</x:v>
      </x:c>
      <x:c r="B17" s="658" t="str">
        <x:v>展商</x:v>
      </x:c>
      <x:c r="C17" s="658" t="n">
        <x:v>3</x:v>
      </x:c>
      <x:c r="D17" s="659" t="str">
        <x:v>商机匹配</x:v>
      </x:c>
      <x:c r="E17" s="660" t="str">
        <x:v>智能推荐潜在高价值买家与合作方</x:v>
      </x:c>
      <x:c r="F17" s="661" t="str">
        <x:v>上方图标区</x:v>
      </x:c>
      <x:c r="G17" s="662" t="str">
        <x:v>完全新增</x:v>
      </x:c>
      <x:c r="H17" s="662" t="str">
        <x:v>对话语料/结构化数据</x:v>
      </x:c>
      <x:c r="I17" s="663" t="str">
        <x:v>推荐列表｜根据客户语料与结构化数据展示买家/合作方、关键词及换一批</x:v>
      </x:c>
      <x:c r="J17" s="662" t="str">
        <x:v>C004</x:v>
      </x:c>
      <x:c r="K17" s="664" t="str">
        <x:v>目标矩阵新增</x:v>
      </x:c>
    </x:row>
    <x:row r="18" ht="57" customHeight="1">
      <x:c r="A18" s="657" t="str">
        <x:v>E04</x:v>
      </x:c>
      <x:c r="B18" s="658" t="str">
        <x:v>展商</x:v>
      </x:c>
      <x:c r="C18" s="658" t="n">
        <x:v>4</x:v>
      </x:c>
      <x:c r="D18" s="659" t="str">
        <x:v>首发首秀</x:v>
      </x:c>
      <x:c r="E18" s="660" t="str">
        <x:v>新品首发首秀的申报入口与展示专区</x:v>
      </x:c>
      <x:c r="F18" s="661" t="str">
        <x:v>上方图标区</x:v>
      </x:c>
      <x:c r="G18" s="662" t="str">
        <x:v>可复用</x:v>
      </x:c>
      <x:c r="H18" s="662" t="str">
        <x:v>无需本期补充</x:v>
      </x:c>
      <x:c r="I18" s="663" t="str">
        <x:v>内部功能页｜展示首发首秀项目与申报专区入口</x:v>
      </x:c>
      <x:c r="J18" s="662" t="str">
        <x:v>—</x:v>
      </x:c>
      <x:c r="K18" s="664" t="str">
        <x:v>2026-08-28 共用能力有效反馈</x:v>
      </x:c>
    </x:row>
    <x:row r="19" ht="57" customHeight="1">
      <x:c r="A19" s="657" t="str">
        <x:v>E05</x:v>
      </x:c>
      <x:c r="B19" s="658" t="str">
        <x:v>展商</x:v>
      </x:c>
      <x:c r="C19" s="658" t="n">
        <x:v>5</x:v>
      </x:c>
      <x:c r="D19" s="659" t="str">
        <x:v>DT奖</x:v>
      </x:c>
      <x:c r="E19" s="660" t="str">
        <x:v>数贸会奖项申报与评选动态</x:v>
      </x:c>
      <x:c r="F19" s="661" t="str">
        <x:v>输入框快捷区</x:v>
      </x:c>
      <x:c r="G19" s="662" t="str">
        <x:v>可复用</x:v>
      </x:c>
      <x:c r="H19" s="662" t="str">
        <x:v>无需本期补充</x:v>
      </x:c>
      <x:c r="I19" s="663" t="str">
        <x:v>对话回复｜展示 DT 奖介绍、奖项信息与评选动态</x:v>
      </x:c>
      <x:c r="J19" s="662" t="str">
        <x:v>—</x:v>
      </x:c>
      <x:c r="K19" s="664" t="str">
        <x:v>2026-08-28 共用能力有效反馈</x:v>
      </x:c>
    </x:row>
    <x:row r="20" ht="57" customHeight="1">
      <x:c r="A20" s="657" t="str">
        <x:v>E06</x:v>
      </x:c>
      <x:c r="B20" s="658" t="str">
        <x:v>展商</x:v>
      </x:c>
      <x:c r="C20" s="658" t="n">
        <x:v>6</x:v>
      </x:c>
      <x:c r="D20" s="659" t="str">
        <x:v>参展权益</x:v>
      </x:c>
      <x:c r="E20" s="660" t="str">
        <x:v>展示展商的权益入口</x:v>
      </x:c>
      <x:c r="F20" s="661" t="str">
        <x:v>输入框快捷区</x:v>
      </x:c>
      <x:c r="G20" s="662" t="str">
        <x:v>完全新增</x:v>
      </x:c>
      <x:c r="H20" s="662" t="str">
        <x:v>跳转URL</x:v>
      </x:c>
      <x:c r="I20" s="663" t="str">
        <x:v>外部入口｜展示展商权益入口，点击后进入客户提供的正式权益页面</x:v>
      </x:c>
      <x:c r="J20" s="662" t="str">
        <x:v>C005</x:v>
      </x:c>
      <x:c r="K20" s="664" t="str">
        <x:v>目标矩阵新增</x:v>
      </x:c>
    </x:row>
    <x:row r="21" ht="57" customHeight="1">
      <x:c r="A21" s="657" t="str">
        <x:v>E07</x:v>
      </x:c>
      <x:c r="B21" s="658" t="str">
        <x:v>展商</x:v>
      </x:c>
      <x:c r="C21" s="658" t="n">
        <x:v>7</x:v>
      </x:c>
      <x:c r="D21" s="659" t="str">
        <x:v>伴游导航</x:v>
      </x:c>
      <x:c r="E21" s="660" t="str">
        <x:v>展区/展位/服务设施室内外一体化导航</x:v>
      </x:c>
      <x:c r="F21" s="661" t="str">
        <x:v>上方图标区</x:v>
      </x:c>
      <x:c r="G21" s="662" t="str">
        <x:v>可复用</x:v>
      </x:c>
      <x:c r="H21" s="662" t="str">
        <x:v>无需本期补充</x:v>
      </x:c>
      <x:c r="I21" s="663" t="str">
        <x:v>内部功能页｜沿用服务设施、交通方式与路线状态展示</x:v>
      </x:c>
      <x:c r="J21" s="662" t="str">
        <x:v>—</x:v>
      </x:c>
      <x:c r="K21" s="664" t="str">
        <x:v>2026-08-28 共用能力有效反馈</x:v>
      </x:c>
    </x:row>
    <x:row r="22" ht="57" customHeight="1">
      <x:c r="A22" s="657" t="str">
        <x:v>E08</x:v>
      </x:c>
      <x:c r="B22" s="658" t="str">
        <x:v>展商</x:v>
      </x:c>
      <x:c r="C22" s="658" t="n">
        <x:v>8</x:v>
      </x:c>
      <x:c r="D22" s="659" t="str">
        <x:v>智能创作</x:v>
      </x:c>
      <x:c r="E22" s="660" t="str">
        <x:v>AI 生成宣传文案、海报等内容</x:v>
      </x:c>
      <x:c r="F22" s="661" t="str">
        <x:v>上方图标区</x:v>
      </x:c>
      <x:c r="G22" s="662" t="str">
        <x:v>可复用</x:v>
      </x:c>
      <x:c r="H22" s="662" t="str">
        <x:v>无需本期补充</x:v>
      </x:c>
      <x:c r="I22" s="663" t="str">
        <x:v>内部功能页｜展示智绘、智记、智创、智影、智写五类能力</x:v>
      </x:c>
      <x:c r="J22" s="662" t="str">
        <x:v>—</x:v>
      </x:c>
      <x:c r="K22" s="664" t="str">
        <x:v>2026-08-28 现网有效反馈</x:v>
      </x:c>
    </x:row>
    <x:row r="23" ht="57" customHeight="1">
      <x:c r="A23" s="657" t="str">
        <x:v>E09</x:v>
      </x:c>
      <x:c r="B23" s="658" t="str">
        <x:v>展商</x:v>
      </x:c>
      <x:c r="C23" s="658" t="n">
        <x:v>9</x:v>
      </x:c>
      <x:c r="D23" s="659" t="str">
        <x:v>传播投手</x:v>
      </x:c>
      <x:c r="E23" s="660" t="str">
        <x:v>提交企业媒体侧宣传需求</x:v>
      </x:c>
      <x:c r="F23" s="661" t="str">
        <x:v>上方图标区</x:v>
      </x:c>
      <x:c r="G23" s="662" t="str">
        <x:v>可复用</x:v>
      </x:c>
      <x:c r="H23" s="662" t="str">
        <x:v>无需本期补充</x:v>
      </x:c>
      <x:c r="I23" s="663" t="str">
        <x:v>业务弹窗｜展示传播投手第一步表单与必填校验，并保留两步流程结构</x:v>
      </x:c>
      <x:c r="J23" s="662" t="str">
        <x:v>—</x:v>
      </x:c>
      <x:c r="K23" s="664" t="str">
        <x:v>2026-08-28 现网有效反馈</x:v>
      </x:c>
    </x:row>
    <x:row r="24" ht="57" customHeight="1">
      <x:c r="A24" s="657" t="str">
        <x:v>E10</x:v>
      </x:c>
      <x:c r="B24" s="658" t="str">
        <x:v>展商</x:v>
      </x:c>
      <x:c r="C24" s="658" t="n">
        <x:v>10</x:v>
      </x:c>
      <x:c r="D24" s="659" t="str">
        <x:v>一键亮码</x:v>
      </x:c>
      <x:c r="E24" s="660" t="str">
        <x:v>一键展示入场码</x:v>
      </x:c>
      <x:c r="F24" s="661" t="str">
        <x:v>上方图标区</x:v>
      </x:c>
      <x:c r="G24" s="662" t="str">
        <x:v>不可复用</x:v>
      </x:c>
      <x:c r="H24" s="662" t="str">
        <x:v>跳转URL</x:v>
      </x:c>
      <x:c r="I24" s="663" t="str">
        <x:v>外部入口｜保留一键亮码入口；配置正式地址后跳转，失败时展示明确状态</x:v>
      </x:c>
      <x:c r="J24" s="662" t="str">
        <x:v>C006</x:v>
      </x:c>
      <x:c r="K24" s="664" t="str">
        <x:v>2026-08-28 现网异常</x:v>
      </x:c>
    </x:row>
    <x:row r="25" ht="57" customHeight="1">
      <x:c r="A25" s="657" t="str">
        <x:v>B01</x:v>
      </x:c>
      <x:c r="B25" s="658" t="str">
        <x:v>客商</x:v>
      </x:c>
      <x:c r="C25" s="658" t="n">
        <x:v>1</x:v>
      </x:c>
      <x:c r="D25" s="659" t="str">
        <x:v>供采大厅</x:v>
      </x:c>
      <x:c r="E25" s="660" t="str">
        <x:v>链接数贸在线供采大厅，查看与发布供需信息</x:v>
      </x:c>
      <x:c r="F25" s="661" t="str">
        <x:v>上方图标区</x:v>
      </x:c>
      <x:c r="G25" s="662" t="str">
        <x:v>可复用</x:v>
      </x:c>
      <x:c r="H25" s="662" t="str">
        <x:v>无需本期补充</x:v>
      </x:c>
      <x:c r="I25" s="663" t="str">
        <x:v>外部链接｜进入数贸在线供采大厅并展示异常反馈</x:v>
      </x:c>
      <x:c r="J25" s="662" t="str">
        <x:v>—</x:v>
      </x:c>
      <x:c r="K25" s="664" t="str">
        <x:v>2026-08-28 共用能力有效反馈</x:v>
      </x:c>
    </x:row>
    <x:row r="26" ht="57" customHeight="1">
      <x:c r="A26" s="657" t="str">
        <x:v>B02</x:v>
      </x:c>
      <x:c r="B26" s="658" t="str">
        <x:v>客商</x:v>
      </x:c>
      <x:c r="C26" s="658" t="n">
        <x:v>2</x:v>
      </x:c>
      <x:c r="D26" s="659" t="str">
        <x:v>智能选品</x:v>
      </x:c>
      <x:c r="E26" s="660" t="str">
        <x:v>基于采购偏好智能推荐展商与展品</x:v>
      </x:c>
      <x:c r="F26" s="661" t="str">
        <x:v>上方图标区</x:v>
      </x:c>
      <x:c r="G26" s="662" t="str">
        <x:v>完全新增</x:v>
      </x:c>
      <x:c r="H26" s="662" t="str">
        <x:v>对话语料/结构化数据</x:v>
      </x:c>
      <x:c r="I26" s="663" t="str">
        <x:v>推荐列表｜根据采购偏好与结构化数据展示展商/展品，并支持换一批</x:v>
      </x:c>
      <x:c r="J26" s="662" t="str">
        <x:v>C007</x:v>
      </x:c>
      <x:c r="K26" s="664" t="str">
        <x:v>目标矩阵新增</x:v>
      </x:c>
    </x:row>
    <x:row r="27" ht="57" customHeight="1">
      <x:c r="A27" s="657" t="str">
        <x:v>B03</x:v>
      </x:c>
      <x:c r="B27" s="658" t="str">
        <x:v>客商</x:v>
      </x:c>
      <x:c r="C27" s="658" t="n">
        <x:v>3</x:v>
      </x:c>
      <x:c r="D27" s="659" t="str">
        <x:v>展商搜索</x:v>
      </x:c>
      <x:c r="E27" s="660" t="str">
        <x:v>精准搜索目标展商与企业信息</x:v>
      </x:c>
      <x:c r="F27" s="661" t="str">
        <x:v>上方图标区</x:v>
      </x:c>
      <x:c r="G27" s="662" t="str">
        <x:v>完全新增</x:v>
      </x:c>
      <x:c r="H27" s="662" t="str">
        <x:v>对话语料/结构化数据</x:v>
      </x:c>
      <x:c r="I27" s="663" t="str">
        <x:v>推荐列表｜根据客户数据展示搜索建议、结果卡片、详情与空状态</x:v>
      </x:c>
      <x:c r="J27" s="662" t="str">
        <x:v>C008</x:v>
      </x:c>
      <x:c r="K27" s="664" t="str">
        <x:v>目标矩阵新增</x:v>
      </x:c>
    </x:row>
    <x:row r="28" ht="57" customHeight="1">
      <x:c r="A28" s="657" t="str">
        <x:v>B04</x:v>
      </x:c>
      <x:c r="B28" s="658" t="str">
        <x:v>客商</x:v>
      </x:c>
      <x:c r="C28" s="658" t="n">
        <x:v>4</x:v>
      </x:c>
      <x:c r="D28" s="659" t="str">
        <x:v>产业对接</x:v>
      </x:c>
      <x:c r="E28" s="660" t="str">
        <x:v>推荐匹配的商贸匹配、产业对接专场</x:v>
      </x:c>
      <x:c r="F28" s="661" t="str">
        <x:v>上方图标区</x:v>
      </x:c>
      <x:c r="G28" s="662" t="str">
        <x:v>可复用</x:v>
      </x:c>
      <x:c r="H28" s="662" t="str">
        <x:v>无需本期补充</x:v>
      </x:c>
      <x:c r="I28" s="663" t="str">
        <x:v>推荐列表｜展示商贸匹配与产业对接活动摘要</x:v>
      </x:c>
      <x:c r="J28" s="662" t="str">
        <x:v>—</x:v>
      </x:c>
      <x:c r="K28" s="664" t="str">
        <x:v>2026-08-28 共用能力有效反馈</x:v>
      </x:c>
    </x:row>
    <x:row r="29" ht="57" customHeight="1">
      <x:c r="A29" s="657" t="str">
        <x:v>B05</x:v>
      </x:c>
      <x:c r="B29" s="658" t="str">
        <x:v>客商</x:v>
      </x:c>
      <x:c r="C29" s="658" t="n">
        <x:v>5</x:v>
      </x:c>
      <x:c r="D29" s="659" t="str">
        <x:v>展会回访</x:v>
      </x:c>
      <x:c r="E29" s="660" t="str">
        <x:v>提供问卷形式的展会回访</x:v>
      </x:c>
      <x:c r="F29" s="661" t="str">
        <x:v>输入框快捷区</x:v>
      </x:c>
      <x:c r="G29" s="662" t="str">
        <x:v>完全新增</x:v>
      </x:c>
      <x:c r="H29" s="662" t="str">
        <x:v>跳转URL</x:v>
      </x:c>
      <x:c r="I29" s="663" t="str">
        <x:v>外部入口｜展示展会回访问卷入口，点击后进入正式问卷并处理失败状态</x:v>
      </x:c>
      <x:c r="J29" s="662" t="str">
        <x:v>C009</x:v>
      </x:c>
      <x:c r="K29" s="664" t="str">
        <x:v>目标矩阵新增</x:v>
      </x:c>
    </x:row>
    <x:row r="30" ht="57" customHeight="1">
      <x:c r="A30" s="657" t="str">
        <x:v>B06</x:v>
      </x:c>
      <x:c r="B30" s="658" t="str">
        <x:v>客商</x:v>
      </x:c>
      <x:c r="C30" s="658" t="n">
        <x:v>6</x:v>
      </x:c>
      <x:c r="D30" s="659" t="str">
        <x:v>参展权益</x:v>
      </x:c>
      <x:c r="E30" s="660" t="str">
        <x:v>展示客商的权益入口</x:v>
      </x:c>
      <x:c r="F30" s="661" t="str">
        <x:v>输入框快捷区</x:v>
      </x:c>
      <x:c r="G30" s="662" t="str">
        <x:v>完全新增</x:v>
      </x:c>
      <x:c r="H30" s="662" t="str">
        <x:v>跳转URL</x:v>
      </x:c>
      <x:c r="I30" s="663" t="str">
        <x:v>外部入口｜展示客商权益入口，点击后进入客户提供的正式权益页面</x:v>
      </x:c>
      <x:c r="J30" s="662" t="str">
        <x:v>C010</x:v>
      </x:c>
      <x:c r="K30" s="664" t="str">
        <x:v>目标矩阵新增</x:v>
      </x:c>
    </x:row>
    <x:row r="31" ht="57" customHeight="1">
      <x:c r="A31" s="657" t="str">
        <x:v>B07</x:v>
      </x:c>
      <x:c r="B31" s="658" t="str">
        <x:v>客商</x:v>
      </x:c>
      <x:c r="C31" s="658" t="n">
        <x:v>7</x:v>
      </x:c>
      <x:c r="D31" s="659" t="str">
        <x:v>伴游导航</x:v>
      </x:c>
      <x:c r="E31" s="660" t="str">
        <x:v>展区/展位/服务设施室内外一体化导航</x:v>
      </x:c>
      <x:c r="F31" s="661" t="str">
        <x:v>上方图标区</x:v>
      </x:c>
      <x:c r="G31" s="662" t="str">
        <x:v>可复用</x:v>
      </x:c>
      <x:c r="H31" s="662" t="str">
        <x:v>无需本期补充</x:v>
      </x:c>
      <x:c r="I31" s="663" t="str">
        <x:v>内部功能页｜沿用服务设施、交通方式与路线状态展示</x:v>
      </x:c>
      <x:c r="J31" s="662" t="str">
        <x:v>—</x:v>
      </x:c>
      <x:c r="K31" s="664" t="str">
        <x:v>2026-08-28 共用能力有效反馈</x:v>
      </x:c>
    </x:row>
    <x:row r="32" ht="57" customHeight="1">
      <x:c r="A32" s="657" t="str">
        <x:v>B08</x:v>
      </x:c>
      <x:c r="B32" s="658" t="str">
        <x:v>客商</x:v>
      </x:c>
      <x:c r="C32" s="658" t="n">
        <x:v>8</x:v>
      </x:c>
      <x:c r="D32" s="659" t="str">
        <x:v>订餐服务</x:v>
      </x:c>
      <x:c r="E32" s="660" t="str">
        <x:v>展馆内餐饮预订与推荐</x:v>
      </x:c>
      <x:c r="F32" s="661" t="str">
        <x:v>输入框快捷区</x:v>
      </x:c>
      <x:c r="G32" s="662" t="str">
        <x:v>可复用</x:v>
      </x:c>
      <x:c r="H32" s="662" t="str">
        <x:v>无需本期补充</x:v>
      </x:c>
      <x:c r="I32" s="663" t="str">
        <x:v>推荐列表｜沿用餐饮推荐样例，不模拟真实预订</x:v>
      </x:c>
      <x:c r="J32" s="662" t="str">
        <x:v>—</x:v>
      </x:c>
      <x:c r="K32" s="664" t="str">
        <x:v>2026-08-28 共用能力有效反馈</x:v>
      </x:c>
    </x:row>
    <x:row r="33" ht="57" customHeight="1">
      <x:c r="A33" s="657" t="str">
        <x:v>B09</x:v>
      </x:c>
      <x:c r="B33" s="658" t="str">
        <x:v>客商</x:v>
      </x:c>
      <x:c r="C33" s="658" t="n">
        <x:v>9</x:v>
      </x:c>
      <x:c r="D33" s="659" t="str">
        <x:v>一键亮码</x:v>
      </x:c>
      <x:c r="E33" s="660" t="str">
        <x:v>一键展示入场码</x:v>
      </x:c>
      <x:c r="F33" s="661" t="str">
        <x:v>上方图标区</x:v>
      </x:c>
      <x:c r="G33" s="662" t="str">
        <x:v>不可复用</x:v>
      </x:c>
      <x:c r="H33" s="662" t="str">
        <x:v>跳转URL</x:v>
      </x:c>
      <x:c r="I33" s="663" t="str">
        <x:v>外部入口｜保留一键亮码入口；配置正式地址后跳转，失败时展示明确状态</x:v>
      </x:c>
      <x:c r="J33" s="662" t="str">
        <x:v>C011</x:v>
      </x:c>
      <x:c r="K33" s="664" t="str">
        <x:v>2026-08-28 现网异常</x:v>
      </x:c>
    </x:row>
    <x:row r="34" ht="57" customHeight="1">
      <x:c r="A34" s="657" t="str">
        <x:v>M01</x:v>
      </x:c>
      <x:c r="B34" s="658" t="str">
        <x:v>媒体</x:v>
      </x:c>
      <x:c r="C34" s="658" t="n">
        <x:v>1</x:v>
      </x:c>
      <x:c r="D34" s="659" t="str">
        <x:v>媒体手册</x:v>
      </x:c>
      <x:c r="E34" s="660" t="str">
        <x:v>官方图片、视频、宣传等媒体资料</x:v>
      </x:c>
      <x:c r="F34" s="661" t="str">
        <x:v>上方图标区</x:v>
      </x:c>
      <x:c r="G34" s="662" t="str">
        <x:v>不可复用</x:v>
      </x:c>
      <x:c r="H34" s="662" t="str">
        <x:v>跳转URL</x:v>
      </x:c>
      <x:c r="I34" s="663" t="str">
        <x:v>外部链接｜展示媒体手册入口；配置正式可访问地址后打开并处理失败状态</x:v>
      </x:c>
      <x:c r="J34" s="662" t="str">
        <x:v>C012</x:v>
      </x:c>
      <x:c r="K34" s="664" t="str">
        <x:v>2026-08-28 现网异常</x:v>
      </x:c>
    </x:row>
    <x:row r="35" ht="57" customHeight="1">
      <x:c r="A35" s="657" t="str">
        <x:v>M02</x:v>
      </x:c>
      <x:c r="B35" s="658" t="str">
        <x:v>媒体</x:v>
      </x:c>
      <x:c r="C35" s="658" t="n">
        <x:v>2</x:v>
      </x:c>
      <x:c r="D35" s="659" t="str">
        <x:v>智能创作</x:v>
      </x:c>
      <x:c r="E35" s="660" t="str">
        <x:v>AI 生成宣传文案、海报等内容</x:v>
      </x:c>
      <x:c r="F35" s="661" t="str">
        <x:v>上方图标区</x:v>
      </x:c>
      <x:c r="G35" s="662" t="str">
        <x:v>可复用</x:v>
      </x:c>
      <x:c r="H35" s="662" t="str">
        <x:v>无需本期补充</x:v>
      </x:c>
      <x:c r="I35" s="663" t="str">
        <x:v>内部功能页｜沿用智绘、智记、智创、智影、智写五类能力</x:v>
      </x:c>
      <x:c r="J35" s="662" t="str">
        <x:v>—</x:v>
      </x:c>
      <x:c r="K35" s="664" t="str">
        <x:v>2026-08-28 共用能力有效反馈</x:v>
      </x:c>
    </x:row>
    <x:row r="36" ht="57" customHeight="1">
      <x:c r="A36" s="657" t="str">
        <x:v>M03</x:v>
      </x:c>
      <x:c r="B36" s="658" t="str">
        <x:v>媒体</x:v>
      </x:c>
      <x:c r="C36" s="658" t="n">
        <x:v>3</x:v>
      </x:c>
      <x:c r="D36" s="659" t="str">
        <x:v>现场素材</x:v>
      </x:c>
      <x:c r="E36" s="660" t="str">
        <x:v>查询现场产生的各类媒体素材</x:v>
      </x:c>
      <x:c r="F36" s="661" t="str">
        <x:v>上方图标区</x:v>
      </x:c>
      <x:c r="G36" s="662" t="str">
        <x:v>完全新增</x:v>
      </x:c>
      <x:c r="H36" s="662" t="str">
        <x:v>跳转URL</x:v>
      </x:c>
      <x:c r="I36" s="663" t="str">
        <x:v>外部链接｜展示现场素材入口；配置正式可访问地址后进入素材页面</x:v>
      </x:c>
      <x:c r="J36" s="662" t="str">
        <x:v>C013</x:v>
      </x:c>
      <x:c r="K36" s="664" t="str">
        <x:v>目标矩阵新增</x:v>
      </x:c>
    </x:row>
    <x:row r="37" ht="57" customHeight="1">
      <x:c r="A37" s="657" t="str">
        <x:v>M04</x:v>
      </x:c>
      <x:c r="B37" s="658" t="str">
        <x:v>媒体</x:v>
      </x:c>
      <x:c r="C37" s="658" t="n">
        <x:v>4</x:v>
      </x:c>
      <x:c r="D37" s="659" t="str">
        <x:v>活动日程</x:v>
      </x:c>
      <x:c r="E37" s="660" t="str">
        <x:v>查询各类活动时间</x:v>
      </x:c>
      <x:c r="F37" s="661" t="str">
        <x:v>上方图标区</x:v>
      </x:c>
      <x:c r="G37" s="662" t="str">
        <x:v>可复用</x:v>
      </x:c>
      <x:c r="H37" s="662" t="str">
        <x:v>无需本期补充</x:v>
      </x:c>
      <x:c r="I37" s="663" t="str">
        <x:v>对话回复｜沿用举办日期与活动日程状态说明</x:v>
      </x:c>
      <x:c r="J37" s="662" t="str">
        <x:v>—</x:v>
      </x:c>
      <x:c r="K37" s="664" t="str">
        <x:v>2026-08-28 共用能力有效反馈</x:v>
      </x:c>
    </x:row>
    <x:row r="38" ht="57" customHeight="1">
      <x:c r="A38" s="657" t="str">
        <x:v>M05</x:v>
      </x:c>
      <x:c r="B38" s="658" t="str">
        <x:v>媒体</x:v>
      </x:c>
      <x:c r="C38" s="658" t="n">
        <x:v>5</x:v>
      </x:c>
      <x:c r="D38" s="659" t="str">
        <x:v>传播热点</x:v>
      </x:c>
      <x:c r="E38" s="660" t="str">
        <x:v>查询展期热点亮点</x:v>
      </x:c>
      <x:c r="F38" s="661" t="str">
        <x:v>上方图标区</x:v>
      </x:c>
      <x:c r="G38" s="662" t="str">
        <x:v>完全新增</x:v>
      </x:c>
      <x:c r="H38" s="662" t="str">
        <x:v>对话语料/结构化数据</x:v>
      </x:c>
      <x:c r="I38" s="663" t="str">
        <x:v>推荐列表｜根据客户语料与结构化数据展示热点卡片、规则与空状态</x:v>
      </x:c>
      <x:c r="J38" s="662" t="str">
        <x:v>C014</x:v>
      </x:c>
      <x:c r="K38" s="664" t="str">
        <x:v>目标矩阵新增</x:v>
      </x:c>
    </x:row>
    <x:row r="39" ht="57" customHeight="1">
      <x:c r="A39" s="657" t="str">
        <x:v>M06</x:v>
      </x:c>
      <x:c r="B39" s="658" t="str">
        <x:v>媒体</x:v>
      </x:c>
      <x:c r="C39" s="658" t="n">
        <x:v>6</x:v>
      </x:c>
      <x:c r="D39" s="659" t="str">
        <x:v>订餐服务</x:v>
      </x:c>
      <x:c r="E39" s="660" t="str">
        <x:v>展馆内餐饮预订与推荐</x:v>
      </x:c>
      <x:c r="F39" s="661" t="str">
        <x:v>输入框快捷区</x:v>
      </x:c>
      <x:c r="G39" s="662" t="str">
        <x:v>可复用</x:v>
      </x:c>
      <x:c r="H39" s="662" t="str">
        <x:v>无需本期补充</x:v>
      </x:c>
      <x:c r="I39" s="663" t="str">
        <x:v>推荐列表｜沿用餐饮推荐样例，不模拟真实预订</x:v>
      </x:c>
      <x:c r="J39" s="662" t="str">
        <x:v>—</x:v>
      </x:c>
      <x:c r="K39" s="664" t="str">
        <x:v>2026-08-28 共用能力有效反馈</x:v>
      </x:c>
    </x:row>
    <x:row r="40" ht="57" customHeight="1">
      <x:c r="A40" s="657" t="str">
        <x:v>M07</x:v>
      </x:c>
      <x:c r="B40" s="658" t="str">
        <x:v>媒体</x:v>
      </x:c>
      <x:c r="C40" s="658" t="n">
        <x:v>7</x:v>
      </x:c>
      <x:c r="D40" s="659" t="str">
        <x:v>参展权益</x:v>
      </x:c>
      <x:c r="E40" s="660" t="str">
        <x:v>展示媒体的权益入口</x:v>
      </x:c>
      <x:c r="F40" s="661" t="str">
        <x:v>输入框快捷区</x:v>
      </x:c>
      <x:c r="G40" s="662" t="str">
        <x:v>完全新增</x:v>
      </x:c>
      <x:c r="H40" s="662" t="str">
        <x:v>跳转URL</x:v>
      </x:c>
      <x:c r="I40" s="663" t="str">
        <x:v>外部入口｜展示媒体权益入口，点击后进入客户提供的正式权益页面</x:v>
      </x:c>
      <x:c r="J40" s="662" t="str">
        <x:v>C015</x:v>
      </x:c>
      <x:c r="K40" s="664" t="str">
        <x:v>目标矩阵新增</x:v>
      </x:c>
    </x:row>
  </x:sheetData>
  <x:mergeCells>
    <x:mergeCell ref="A1:K1"/>
    <x:mergeCell ref="A2:K2"/>
  </x:mergeCells>
  <x:dataValidations count="3">
    <x:dataValidation type="list" sqref="F5:F40">
      <x:formula1>"上方图标区,输入框快捷区"</x:formula1>
    </x:dataValidation>
    <x:dataValidation type="list" sqref="G5:G40">
      <x:formula1>"可复用,不可复用,完全新增"</x:formula1>
    </x:dataValidation>
    <x:dataValidation type="list" sqref="H5:H40">
      <x:formula1>"无需本期补充,跳转URL,对话语料/结构化数据"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f1c479950245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6" hidden="0" customWidth="1"/>
    <x:col min="4" max="4" width="33" hidden="0" customWidth="1"/>
    <x:col min="5" max="5" width="16" hidden="0" customWidth="1"/>
    <x:col min="6" max="6" width="15" hidden="0" customWidth="1"/>
    <x:col min="7" max="7" width="65" hidden="0" customWidth="1"/>
    <x:col min="8" max="8" width="58" hidden="0" customWidth="1"/>
    <x:col min="9" max="9" width="29" hidden="0" customWidth="1"/>
    <x:col min="10" max="10" width="43" hidden="0" customWidth="1"/>
    <x:col min="11" max="11" width="27" hidden="0" customWidth="1"/>
  </x:cols>
  <x:sheetData>
    <x:row r="1" ht="35" customHeight="1">
      <x:c r="A1" s="540" t="str">
        <x:v>现网功能与点击反馈</x:v>
      </x:c>
      <x:c r="B1" s="541"/>
      <x:c r="C1" s="541"/>
      <x:c r="D1" s="541"/>
      <x:c r="E1" s="541"/>
      <x:c r="F1" s="541"/>
      <x:c r="G1" s="541"/>
      <x:c r="H1" s="541"/>
      <x:c r="I1" s="541"/>
      <x:c r="J1" s="541"/>
      <x:c r="K1" s="542"/>
    </x:row>
    <x:row r="2" ht="31" customHeight="1">
      <x:c r="A2" s="546" t="str">
        <x:v>来源：visitor / exhibitor 页面及多级入口实测。异常完整 URL、查询参数、鉴权值和内部式指令原文均未保存。</x:v>
      </x:c>
      <x:c r="B2" s="547"/>
      <x:c r="C2" s="547"/>
      <x:c r="D2" s="547"/>
      <x:c r="E2" s="547"/>
      <x:c r="F2" s="547"/>
      <x:c r="G2" s="547"/>
      <x:c r="H2" s="547"/>
      <x:c r="I2" s="547"/>
      <x:c r="J2" s="547"/>
      <x:c r="K2" s="548"/>
    </x:row>
    <x:row r="3">
      <x:c r="A3" s="502"/>
      <x:c r="B3" s="503"/>
      <x:c r="C3" s="503"/>
      <x:c r="D3" s="503"/>
      <x:c r="E3" s="503"/>
      <x:c r="F3" s="503"/>
      <x:c r="G3" s="503"/>
      <x:c r="H3" s="503"/>
      <x:c r="I3" s="503"/>
      <x:c r="J3" s="503"/>
      <x:c r="K3" s="504"/>
    </x:row>
    <x:row r="4" ht="33" customHeight="1">
      <x:c r="A4" s="576" t="str">
        <x:v>关联入口ID</x:v>
      </x:c>
      <x:c r="B4" s="577" t="str">
        <x:v>页面版本</x:v>
      </x:c>
      <x:c r="C4" s="577" t="str">
        <x:v>入口层级</x:v>
      </x:c>
      <x:c r="D4" s="577" t="str">
        <x:v>点击路径</x:v>
      </x:c>
      <x:c r="E4" s="577" t="str">
        <x:v>反馈类型</x:v>
      </x:c>
      <x:c r="F4" s="577" t="str">
        <x:v>反馈复用结论</x:v>
      </x:c>
      <x:c r="G4" s="577" t="str">
        <x:v>完整回复样例/展示结果</x:v>
      </x:c>
      <x:c r="H4" s="577" t="str">
        <x:v>脱敏 URL</x:v>
      </x:c>
      <x:c r="I4" s="577" t="str">
        <x:v>跳转结果</x:v>
      </x:c>
      <x:c r="J4" s="577" t="str">
        <x:v>异常说明</x:v>
      </x:c>
      <x:c r="K4" s="577" t="str">
        <x:v>证据日期</x:v>
      </x:c>
    </x:row>
    <x:row r="5" ht="75" customHeight="1">
      <x:c r="A5" s="680" t="str">
        <x:v>V01-V10</x:v>
      </x:c>
      <x:c r="B5" s="651" t="str">
        <x:v>visitor 页</x:v>
      </x:c>
      <x:c r="C5" s="652" t="str">
        <x:v>首页</x:v>
      </x:c>
      <x:c r="D5" s="652" t="str">
        <x:v>打开页面</x:v>
      </x:c>
      <x:c r="E5" s="653" t="str">
        <x:v>内部功能页</x:v>
      </x:c>
      <x:c r="F5" s="653" t="str">
        <x:v>可复用</x:v>
      </x:c>
      <x:c r="G5" s="652" t="str">
        <x:v>显示数小潮、展会速览、活动日程/展区介绍/展商推荐/首发首秀、推荐问题与逛展服务。</x:v>
      </x:c>
      <x:c r="H5" s="686" t="str">
        <x:v>https://voicehub.commind.com/hzzx/mobile/?role=visitor</x:v>
      </x:c>
      <x:c r="I5" s="652" t="str">
        <x:v>同页展示</x:v>
      </x:c>
      <x:c r="J5" s="652" t="str">
        <x:v>与 Excel 目标矩阵不完全相同。</x:v>
      </x:c>
      <x:c r="K5" s="682" t="str">
        <x:v>2026-08-28（AI 输出可能变化）</x:v>
      </x:c>
    </x:row>
    <x:row r="6" ht="75" customHeight="1">
      <x:c r="A6" s="683" t="str">
        <x:v>V03</x:v>
      </x:c>
      <x:c r="B6" s="659" t="str">
        <x:v>visitor 页</x:v>
      </x:c>
      <x:c r="C6" s="660" t="str">
        <x:v>上方入口</x:v>
      </x:c>
      <x:c r="D6" s="660" t="str">
        <x:v>活动日程</x:v>
      </x:c>
      <x:c r="E6" s="661" t="str">
        <x:v>对话回复</x:v>
      </x:c>
      <x:c r="F6" s="661" t="str">
        <x:v>可复用</x:v>
      </x:c>
      <x:c r="G6" s="660" t="str">
        <x:v>本届数贸会将于2026年9月23日至27日在杭州大会展中心举办，但目前活动日程尚未公布，建议持续关注官方渠道。</x:v>
      </x:c>
      <x:c r="H6" s="687" t="str">
        <x:v>https://voicehub.commind.com/hzzx/mobile/?role=visitor</x:v>
      </x:c>
      <x:c r="I6" s="660" t="str">
        <x:v>追加对话</x:v>
      </x:c>
      <x:c r="J6" s="660" t="str">
        <x:v>无可用详细日程物料。</x:v>
      </x:c>
      <x:c r="K6" s="685" t="str">
        <x:v>2026-08-28（AI 输出可能变化）</x:v>
      </x:c>
    </x:row>
    <x:row r="7" ht="75" customHeight="1">
      <x:c r="A7" s="683" t="str">
        <x:v>V02</x:v>
      </x:c>
      <x:c r="B7" s="659" t="str">
        <x:v>visitor 页</x:v>
      </x:c>
      <x:c r="C7" s="660" t="str">
        <x:v>上方入口</x:v>
      </x:c>
      <x:c r="D7" s="660" t="str">
        <x:v>展区介绍</x:v>
      </x:c>
      <x:c r="E7" s="661" t="str">
        <x:v>对话回复</x:v>
      </x:c>
      <x:c r="F7" s="661" t="str">
        <x:v>可复用</x:v>
      </x:c>
      <x:c r="G7" s="660" t="str">
        <x:v>主题展区位于2号馆，以前沿趋势、头部企业、国际合作为三大板块；继续介绍具身智能、数字文娱、空天信息、数字医疗、跨境电商及智慧物流等内容。</x:v>
      </x:c>
      <x:c r="H7" s="687" t="str">
        <x:v>https://voicehub.commind.com/hzzx/mobile/?role=visitor</x:v>
      </x:c>
      <x:c r="I7" s="660" t="str">
        <x:v>追加对话</x:v>
      </x:c>
      <x:c r="J7" s="660" t="str">
        <x:v>展区板块口径需业务复核。</x:v>
      </x:c>
      <x:c r="K7" s="685" t="str">
        <x:v>2026-08-28（AI 输出可能变化）</x:v>
      </x:c>
    </x:row>
    <x:row r="8" ht="75" customHeight="1">
      <x:c r="A8" s="683" t="str">
        <x:v>V04</x:v>
      </x:c>
      <x:c r="B8" s="659" t="str">
        <x:v>visitor 页</x:v>
      </x:c>
      <x:c r="C8" s="660" t="str">
        <x:v>上方入口</x:v>
      </x:c>
      <x:c r="D8" s="660" t="str">
        <x:v>展商推荐</x:v>
      </x:c>
      <x:c r="E8" s="661" t="str">
        <x:v>推荐列表</x:v>
      </x:c>
      <x:c r="F8" s="661" t="str">
        <x:v>可复用</x:v>
      </x:c>
      <x:c r="G8" s="660" t="str">
        <x:v>分组返回：人工智能（迅实科技、GE医疗、每日互动）；丝路电商（亚马逊、阿里国际站、速卖通、Lazada、淘宝出海、SHEIN）；数字文娱（遥望科技、谦寻控股）。</x:v>
      </x:c>
      <x:c r="H8" s="687" t="str">
        <x:v>https://voicehub.commind.com/hzzx/mobile/?role=visitor</x:v>
      </x:c>
      <x:c r="I8" s="660" t="str">
        <x:v>追加推荐列表</x:v>
      </x:c>
      <x:c r="J8" s="660" t="str">
        <x:v>正式数据源与排序待确认。</x:v>
      </x:c>
      <x:c r="K8" s="685" t="str">
        <x:v>2026-08-28（AI 输出可能变化）</x:v>
      </x:c>
    </x:row>
    <x:row r="9" ht="75" customHeight="1">
      <x:c r="A9" s="683" t="str">
        <x:v>V05</x:v>
      </x:c>
      <x:c r="B9" s="659" t="str">
        <x:v>visitor 页</x:v>
      </x:c>
      <x:c r="C9" s="660" t="str">
        <x:v>上方入口</x:v>
      </x:c>
      <x:c r="D9" s="660" t="str">
        <x:v>首发首秀</x:v>
      </x:c>
      <x:c r="E9" s="661" t="str">
        <x:v>推荐列表</x:v>
      </x:c>
      <x:c r="F9" s="661" t="str">
        <x:v>可复用</x:v>
      </x:c>
      <x:c r="G9" s="660" t="str">
        <x:v>人工智能展区包含时空精灵、乾塘方舟、安恒等16家；数智医疗包含美年健康、德适生物、跨维生物等8家。</x:v>
      </x:c>
      <x:c r="H9" s="687" t="str">
        <x:v>https://voicehub.commind.com/hzzx/mobile/?role=visitor</x:v>
      </x:c>
      <x:c r="I9" s="660" t="str">
        <x:v>追加推荐列表</x:v>
      </x:c>
      <x:c r="J9" s="660" t="str">
        <x:v>缺少新品名称、亮点、时间和官方复核。</x:v>
      </x:c>
      <x:c r="K9" s="685" t="str">
        <x:v>2026-08-28（AI 输出可能变化）</x:v>
      </x:c>
    </x:row>
    <x:row r="10" ht="75" customHeight="1">
      <x:c r="A10" s="683" t="str">
        <x:v>V06,V08,V10</x:v>
      </x:c>
      <x:c r="B10" s="659" t="str">
        <x:v>visitor 页</x:v>
      </x:c>
      <x:c r="C10" s="660" t="str">
        <x:v>输入框上方</x:v>
      </x:c>
      <x:c r="D10" s="660" t="str">
        <x:v>逛展服务</x:v>
      </x:c>
      <x:c r="E10" s="661" t="str">
        <x:v>业务弹窗</x:v>
      </x:c>
      <x:c r="F10" s="661" t="str">
        <x:v>可复用</x:v>
      </x:c>
      <x:c r="G10" s="660" t="str">
        <x:v>展开菜单：展会服务、订餐服务、一键亮码。</x:v>
      </x:c>
      <x:c r="H10" s="687" t="str">
        <x:v>https://voicehub.commind.com/hzzx/mobile/?role=visitor</x:v>
      </x:c>
      <x:c r="I10" s="660" t="str">
        <x:v>同页展开菜单</x:v>
      </x:c>
      <x:c r="J10" s="660" t="str">
        <x:v>现网聚合入口与目标独立入口规则不同。</x:v>
      </x:c>
      <x:c r="K10" s="685" t="str">
        <x:v>2026-08-28（AI 输出可能变化）</x:v>
      </x:c>
    </x:row>
    <x:row r="11" ht="75" customHeight="1">
      <x:c r="A11" s="683" t="str">
        <x:v>V06</x:v>
      </x:c>
      <x:c r="B11" s="659" t="str">
        <x:v>visitor 页</x:v>
      </x:c>
      <x:c r="C11" s="660" t="str">
        <x:v>二级菜单</x:v>
      </x:c>
      <x:c r="D11" s="660" t="str">
        <x:v>逛展服务 &gt; 展会服务</x:v>
      </x:c>
      <x:c r="E11" s="661" t="str">
        <x:v>业务弹窗</x:v>
      </x:c>
      <x:c r="F11" s="661" t="str">
        <x:v>可复用</x:v>
      </x:c>
      <x:c r="G11" s="660" t="str">
        <x:v>展开服务台、停车场、洗手间、交通方式。</x:v>
      </x:c>
      <x:c r="H11" s="687" t="str">
        <x:v>https://voicehub.commind.com/hzzx/mobile/?role=visitor</x:v>
      </x:c>
      <x:c r="I11" s="660" t="str">
        <x:v>同页展开二级菜单</x:v>
      </x:c>
      <x:c r="J11" s="660" t="str">
        <x:v>距离、定位和导航能力不完整。</x:v>
      </x:c>
      <x:c r="K11" s="685" t="str">
        <x:v>2026-08-28（AI 输出可能变化）</x:v>
      </x:c>
    </x:row>
    <x:row r="12" ht="75" customHeight="1">
      <x:c r="A12" s="683" t="str">
        <x:v>V06</x:v>
      </x:c>
      <x:c r="B12" s="659" t="str">
        <x:v>visitor 页</x:v>
      </x:c>
      <x:c r="C12" s="660" t="str">
        <x:v>三级入口</x:v>
      </x:c>
      <x:c r="D12" s="660" t="str">
        <x:v>展会服务 &gt; 服务台</x:v>
      </x:c>
      <x:c r="E12" s="661" t="str">
        <x:v>对话回复</x:v>
      </x:c>
      <x:c r="F12" s="661" t="str">
        <x:v>可复用</x:v>
      </x:c>
      <x:c r="G12" s="660" t="str">
        <x:v>未查到服务台具体位置、开放时间和服务内容，建议以现场导视或咨询工作人员为准。</x:v>
      </x:c>
      <x:c r="H12" s="687" t="str">
        <x:v>https://voicehub.commind.com/hzzx/mobile/?role=visitor</x:v>
      </x:c>
      <x:c r="I12" s="660" t="str">
        <x:v>追加对话</x:v>
      </x:c>
      <x:c r="J12" s="660" t="str">
        <x:v>缺少服务台物料，不能完成导航。</x:v>
      </x:c>
      <x:c r="K12" s="685" t="str">
        <x:v>2026-08-28（AI 输出可能变化）</x:v>
      </x:c>
    </x:row>
    <x:row r="13" ht="75" customHeight="1">
      <x:c r="A13" s="683" t="str">
        <x:v>V06</x:v>
      </x:c>
      <x:c r="B13" s="659" t="str">
        <x:v>visitor 页</x:v>
      </x:c>
      <x:c r="C13" s="660" t="str">
        <x:v>三级入口</x:v>
      </x:c>
      <x:c r="D13" s="660" t="str">
        <x:v>展会服务 &gt; 停车场</x:v>
      </x:c>
      <x:c r="E13" s="661" t="str">
        <x:v>推荐列表</x:v>
      </x:c>
      <x:c r="F13" s="661" t="str">
        <x:v>可复用</x:v>
      </x:c>
      <x:c r="G13" s="660" t="str">
        <x:v>返回 5 个地图卡片，含名称、地址和查看路线操作。</x:v>
      </x:c>
      <x:c r="H13" s="687" t="str">
        <x:v>https://voicehub.commind.com/hzzx/mobile/?role=visitor</x:v>
      </x:c>
      <x:c r="I13" s="660" t="str">
        <x:v>查看路线后无新页和可见反馈</x:v>
      </x:c>
      <x:c r="J13" s="660" t="str">
        <x:v>回复包含内部式指令文案风险；路线交互反馈缺失。</x:v>
      </x:c>
      <x:c r="K13" s="685" t="str">
        <x:v>2026-08-28（AI 输出可能变化）</x:v>
      </x:c>
    </x:row>
    <x:row r="14" ht="75" customHeight="1">
      <x:c r="A14" s="683" t="str">
        <x:v>V06</x:v>
      </x:c>
      <x:c r="B14" s="659" t="str">
        <x:v>visitor 页</x:v>
      </x:c>
      <x:c r="C14" s="660" t="str">
        <x:v>三级入口</x:v>
      </x:c>
      <x:c r="D14" s="660" t="str">
        <x:v>展会服务 &gt; 洗手间</x:v>
      </x:c>
      <x:c r="E14" s="661" t="str">
        <x:v>推荐列表</x:v>
      </x:c>
      <x:c r="F14" s="661" t="str">
        <x:v>可复用</x:v>
      </x:c>
      <x:c r="G14" s="660" t="str">
        <x:v>返回 5 个地图卡片，含名称、地址和查看路线操作。</x:v>
      </x:c>
      <x:c r="H14" s="687" t="str">
        <x:v>https://voicehub.commind.com/hzzx/mobile/?role=visitor</x:v>
      </x:c>
      <x:c r="I14" s="660" t="str">
        <x:v>查看路线后无新页和可见反馈</x:v>
      </x:c>
      <x:c r="J14" s="660" t="str">
        <x:v>回复包含内部式指令文案风险；路线交互反馈缺失。</x:v>
      </x:c>
      <x:c r="K14" s="685" t="str">
        <x:v>2026-08-28（AI 输出可能变化）</x:v>
      </x:c>
    </x:row>
    <x:row r="15" ht="75" customHeight="1">
      <x:c r="A15" s="683" t="str">
        <x:v>V06</x:v>
      </x:c>
      <x:c r="B15" s="659" t="str">
        <x:v>visitor 页</x:v>
      </x:c>
      <x:c r="C15" s="660" t="str">
        <x:v>三级入口</x:v>
      </x:c>
      <x:c r="D15" s="660" t="str">
        <x:v>展会服务 &gt; 交通方式</x:v>
      </x:c>
      <x:c r="E15" s="661" t="str">
        <x:v>对话回复</x:v>
      </x:c>
      <x:c r="F15" s="661" t="str">
        <x:v>可复用</x:v>
      </x:c>
      <x:c r="G15" s="660" t="str">
        <x:v>地铁：1号线大会展中心站 A 口/C2 口；自驾：地下停车场；公交：可选线路较少。</x:v>
      </x:c>
      <x:c r="H15" s="687" t="str">
        <x:v>https://voicehub.commind.com/hzzx/mobile/?role=visitor</x:v>
      </x:c>
      <x:c r="I15" s="660" t="str">
        <x:v>追加对话</x:v>
      </x:c>
      <x:c r="J15" s="660" t="str">
        <x:v>无实时路况、出入口开放状态和路线规划。</x:v>
      </x:c>
      <x:c r="K15" s="685" t="str">
        <x:v>2026-08-28（AI 输出可能变化）</x:v>
      </x:c>
    </x:row>
    <x:row r="16" ht="75" customHeight="1">
      <x:c r="A16" s="683" t="str">
        <x:v>V08,B08,M06</x:v>
      </x:c>
      <x:c r="B16" s="659" t="str">
        <x:v>visitor 页</x:v>
      </x:c>
      <x:c r="C16" s="660" t="str">
        <x:v>二级菜单</x:v>
      </x:c>
      <x:c r="D16" s="660" t="str">
        <x:v>逛展服务 &gt; 订餐服务</x:v>
      </x:c>
      <x:c r="E16" s="661" t="str">
        <x:v>推荐列表</x:v>
      </x:c>
      <x:c r="F16" s="661" t="str">
        <x:v>可复用</x:v>
      </x:c>
      <x:c r="G16" s="660" t="str">
        <x:v>返回 5 家餐饮样例：好运客、花泰、雷泰泰、禾月、虾匠。</x:v>
      </x:c>
      <x:c r="H16" s="687" t="str">
        <x:v>https://voicehub.commind.com/hzzx/mobile/?role=visitor</x:v>
      </x:c>
      <x:c r="I16" s="660" t="str">
        <x:v>追加推荐列表</x:v>
      </x:c>
      <x:c r="J16" s="660" t="str">
        <x:v>店铺、营业状态待确认，无真实预订闭环。</x:v>
      </x:c>
      <x:c r="K16" s="685" t="str">
        <x:v>2026-08-28（AI 输出可能变化）</x:v>
      </x:c>
    </x:row>
    <x:row r="17" ht="75" customHeight="1">
      <x:c r="A17" s="683" t="str">
        <x:v>V10,E10,B09</x:v>
      </x:c>
      <x:c r="B17" s="659" t="str">
        <x:v>visitor 页</x:v>
      </x:c>
      <x:c r="C17" s="660" t="str">
        <x:v>二级菜单</x:v>
      </x:c>
      <x:c r="D17" s="660" t="str">
        <x:v>逛展服务 &gt; 一键亮码</x:v>
      </x:c>
      <x:c r="E17" s="661" t="str">
        <x:v>业务弹窗</x:v>
      </x:c>
      <x:c r="F17" s="661" t="str">
        <x:v>不可复用</x:v>
      </x:c>
      <x:c r="G17" s="660" t="str">
        <x:v>Toast：当前入口还没有配置跳转地址。</x:v>
      </x:c>
      <x:c r="H17" s="687" t="str">
        <x:v>https://voicehub.commind.com/hzzx/mobile/?role=visitor</x:v>
      </x:c>
      <x:c r="I17" s="660" t="str">
        <x:v>不跳转</x:v>
      </x:c>
      <x:c r="J17" s="660" t="str">
        <x:v>亮码地址缺失。</x:v>
      </x:c>
      <x:c r="K17" s="685" t="str">
        <x:v>2026-08-28（AI 输出可能变化）</x:v>
      </x:c>
    </x:row>
    <x:row r="18" ht="75" customHeight="1">
      <x:c r="A18" s="683" t="str">
        <x:v>—</x:v>
      </x:c>
      <x:c r="B18" s="659" t="str">
        <x:v>visitor 页</x:v>
      </x:c>
      <x:c r="C18" s="660" t="str">
        <x:v>输入框上方</x:v>
      </x:c>
      <x:c r="D18" s="660" t="str">
        <x:v>活动跳转</x:v>
      </x:c>
      <x:c r="E18" s="661" t="str">
        <x:v>对话回复</x:v>
      </x:c>
      <x:c r="F18" s="661" t="str">
        <x:v>不可复用</x:v>
      </x:c>
      <x:c r="G18" s="660" t="str">
        <x:v>没有查到活动跳转具体信息。</x:v>
      </x:c>
      <x:c r="H18" s="687" t="str">
        <x:v>https://voicehub.commind.com/hzzx/mobile/?role=visitor</x:v>
      </x:c>
      <x:c r="I18" s="660" t="str">
        <x:v>不跳转</x:v>
      </x:c>
      <x:c r="J18" s="660" t="str">
        <x:v>非目标矩阵入口，且无有效内容或地址。</x:v>
      </x:c>
      <x:c r="K18" s="685" t="str">
        <x:v>2026-08-28（AI 输出可能变化）</x:v>
      </x:c>
    </x:row>
    <x:row r="19" ht="75" customHeight="1">
      <x:c r="A19" s="683" t="str">
        <x:v>E05</x:v>
      </x:c>
      <x:c r="B19" s="659" t="str">
        <x:v>visitor 页</x:v>
      </x:c>
      <x:c r="C19" s="660" t="str">
        <x:v>输入框上方</x:v>
      </x:c>
      <x:c r="D19" s="660" t="str">
        <x:v>DT奖</x:v>
      </x:c>
      <x:c r="E19" s="661" t="str">
        <x:v>对话回复</x:v>
      </x:c>
      <x:c r="F19" s="661" t="str">
        <x:v>可复用</x:v>
      </x:c>
      <x:c r="G19" s="660" t="str">
        <x:v>返回往届介绍与奖项样例；本届申报规则、时间、评审进度和入口未给出。</x:v>
      </x:c>
      <x:c r="H19" s="687" t="str">
        <x:v>https://voicehub.commind.com/hzzx/mobile/?role=visitor</x:v>
      </x:c>
      <x:c r="I19" s="660" t="str">
        <x:v>追加对话</x:v>
      </x:c>
      <x:c r="J19" s="660" t="str">
        <x:v>现网位于 visitor 页，与目标展商快捷入口定位不一致。</x:v>
      </x:c>
      <x:c r="K19" s="685" t="str">
        <x:v>2026-08-28（AI 输出可能变化）</x:v>
      </x:c>
    </x:row>
    <x:row r="20" ht="75" customHeight="1">
      <x:c r="A20" s="683" t="str">
        <x:v>E02,B01</x:v>
      </x:c>
      <x:c r="B20" s="659" t="str">
        <x:v>visitor 页</x:v>
      </x:c>
      <x:c r="C20" s="660" t="str">
        <x:v>输入框上方</x:v>
      </x:c>
      <x:c r="D20" s="660" t="str">
        <x:v>数贸在线</x:v>
      </x:c>
      <x:c r="E20" s="661" t="str">
        <x:v>外部链接</x:v>
      </x:c>
      <x:c r="F20" s="661" t="str">
        <x:v>可复用</x:v>
      </x:c>
      <x:c r="G20" s="660" t="str">
        <x:v>回复提供数贸在线官网文本。</x:v>
      </x:c>
      <x:c r="H20" s="687" t="str">
        <x:v>https://www.gdteonline.com/（异常 href 未保存）</x:v>
      </x:c>
      <x:c r="I20" s="660" t="str">
        <x:v>现网链接尾部含异常标点</x:v>
      </x:c>
      <x:c r="J20" s="660" t="str">
        <x:v>异常 href 可能导致错误跳转。</x:v>
      </x:c>
      <x:c r="K20" s="685" t="str">
        <x:v>2026-08-28（AI 输出可能变化）</x:v>
      </x:c>
    </x:row>
    <x:row r="21" ht="75" customHeight="1">
      <x:c r="A21" s="683" t="str">
        <x:v>E01,B04</x:v>
      </x:c>
      <x:c r="B21" s="659" t="str">
        <x:v>visitor 页</x:v>
      </x:c>
      <x:c r="C21" s="660" t="str">
        <x:v>输入框上方</x:v>
      </x:c>
      <x:c r="D21" s="660" t="str">
        <x:v>产业链接</x:v>
      </x:c>
      <x:c r="E21" s="661" t="str">
        <x:v>对话回复</x:v>
      </x:c>
      <x:c r="F21" s="661" t="str">
        <x:v>可复用</x:v>
      </x:c>
      <x:c r="G21" s="660" t="str">
        <x:v>返回 9 月 25—28 日的产业活动摘要。</x:v>
      </x:c>
      <x:c r="H21" s="687" t="str">
        <x:v>https://voicehub.commind.com/hzzx/mobile/?role=visitor</x:v>
      </x:c>
      <x:c r="I21" s="660" t="str">
        <x:v>追加对话</x:v>
      </x:c>
      <x:c r="J21" s="660" t="str">
        <x:v>仅活动摘要，未形成角色匹配、报名和换一批。</x:v>
      </x:c>
      <x:c r="K21" s="685" t="str">
        <x:v>2026-08-28（AI 输出可能变化）</x:v>
      </x:c>
    </x:row>
    <x:row r="22" ht="75" customHeight="1">
      <x:c r="A22" s="683" t="str">
        <x:v>E01-E10</x:v>
      </x:c>
      <x:c r="B22" s="659" t="str">
        <x:v>exhibitor 页</x:v>
      </x:c>
      <x:c r="C22" s="660" t="str">
        <x:v>首页</x:v>
      </x:c>
      <x:c r="D22" s="660" t="str">
        <x:v>打开页面</x:v>
      </x:c>
      <x:c r="E22" s="661" t="str">
        <x:v>内部功能页</x:v>
      </x:c>
      <x:c r="F22" s="661" t="str">
        <x:v>可复用</x:v>
      </x:c>
      <x:c r="G22" s="660" t="str">
        <x:v>实际显示媒体风格能力：智能创作、公共素材库、传播投手。</x:v>
      </x:c>
      <x:c r="H22" s="687" t="str">
        <x:v>https://voicehub.commind.com/hzzx/mobile/?role=exhibitor</x:v>
      </x:c>
      <x:c r="I22" s="660" t="str">
        <x:v>同页展示</x:v>
      </x:c>
      <x:c r="J22" s="660" t="str">
        <x:v>仅公共壳层和对应媒体能力可复用，不能代表展商矩阵</x:v>
      </x:c>
      <x:c r="K22" s="685" t="str">
        <x:v>2026-08-28（AI 输出可能变化）</x:v>
      </x:c>
    </x:row>
    <x:row r="23" ht="75" customHeight="1">
      <x:c r="A23" s="683" t="str">
        <x:v>E08,M02</x:v>
      </x:c>
      <x:c r="B23" s="659" t="str">
        <x:v>exhibitor 页</x:v>
      </x:c>
      <x:c r="C23" s="660" t="str">
        <x:v>上方入口</x:v>
      </x:c>
      <x:c r="D23" s="660" t="str">
        <x:v>智能创作</x:v>
      </x:c>
      <x:c r="E23" s="661" t="str">
        <x:v>内部功能页</x:v>
      </x:c>
      <x:c r="F23" s="661" t="str">
        <x:v>可复用</x:v>
      </x:c>
      <x:c r="G23" s="660" t="str">
        <x:v>进入创作页：智绘 AI 海报、智记会议速记、智创 AI 编辑室、智影 AI 成片、智写 AI 写作。</x:v>
      </x:c>
      <x:c r="H23" s="687" t="str">
        <x:v>https://voicehub.commind.com/hzzx/mobile/creation/（非敏感查询参数省略）</x:v>
      </x:c>
      <x:c r="I23" s="660" t="str">
        <x:v>同站内跳转成功</x:v>
      </x:c>
      <x:c r="J23" s="660" t="str">
        <x:v>功能可复用，但 exhibitor 首页角色定位错位。</x:v>
      </x:c>
      <x:c r="K23" s="685" t="str">
        <x:v>2026-08-28（AI 输出可能变化）</x:v>
      </x:c>
    </x:row>
    <x:row r="24" ht="75" customHeight="1">
      <x:c r="A24" s="683" t="str">
        <x:v>M01</x:v>
      </x:c>
      <x:c r="B24" s="659" t="str">
        <x:v>exhibitor 页</x:v>
      </x:c>
      <x:c r="C24" s="660" t="str">
        <x:v>上方入口</x:v>
      </x:c>
      <x:c r="D24" s="660" t="str">
        <x:v>公共素材库</x:v>
      </x:c>
      <x:c r="E24" s="661" t="str">
        <x:v>外部链接</x:v>
      </x:c>
      <x:c r="F24" s="661" t="str">
        <x:v>不可复用</x:v>
      </x:c>
      <x:c r="G24" s="660" t="str">
        <x:v>跳转后返回 500 nginx。动态鉴权值：&lt;已脱敏动态鉴权参数&gt;。</x:v>
      </x:c>
      <x:c r="H24" s="687" t="str">
        <x:v>https://voicehub.commind.com/imam-longwan/mediaSourcesH5/…（异常路径与查询参数未保存）</x:v>
      </x:c>
      <x:c r="I24" s="660" t="str">
        <x:v>跳转后显示 500 nginx</x:v>
      </x:c>
      <x:c r="J24" s="660" t="str">
        <x:v>素材库不可用；未保存完整异常 URL 或任何鉴权值。</x:v>
      </x:c>
      <x:c r="K24" s="685" t="str">
        <x:v>2026-08-28（AI 输出可能变化）</x:v>
      </x:c>
    </x:row>
    <x:row r="25" ht="75" customHeight="1">
      <x:c r="A25" s="683" t="str">
        <x:v>E09</x:v>
      </x:c>
      <x:c r="B25" s="659" t="str">
        <x:v>exhibitor 页</x:v>
      </x:c>
      <x:c r="C25" s="660" t="str">
        <x:v>上方入口</x:v>
      </x:c>
      <x:c r="D25" s="660" t="str">
        <x:v>传播投手</x:v>
      </x:c>
      <x:c r="E25" s="661" t="str">
        <x:v>业务弹窗</x:v>
      </x:c>
      <x:c r="F25" s="661" t="str">
        <x:v>可复用</x:v>
      </x:c>
      <x:c r="G25" s="660" t="str">
        <x:v>打开两步弹窗；第一步包含企业名称、服务类型、服务明细、传播要求。</x:v>
      </x:c>
      <x:c r="H25" s="687" t="str">
        <x:v>https://voicehub.commind.com/hzzx/mobile/?role=exhibitor</x:v>
      </x:c>
      <x:c r="I25" s="660" t="str">
        <x:v>同页打开弹窗</x:v>
      </x:c>
      <x:c r="J25" s="660" t="str">
        <x:v>第二步字段和提交结果未验证。</x:v>
      </x:c>
      <x:c r="K25" s="685" t="str">
        <x:v>2026-08-28（AI 输出可能变化）</x:v>
      </x:c>
    </x:row>
    <x:row r="26" ht="75" customHeight="1">
      <x:c r="A26" s="683" t="str">
        <x:v>E09</x:v>
      </x:c>
      <x:c r="B26" s="659" t="str">
        <x:v>exhibitor 页</x:v>
      </x:c>
      <x:c r="C26" s="660" t="str">
        <x:v>弹窗校验</x:v>
      </x:c>
      <x:c r="D26" s="660" t="str">
        <x:v>传播投手 &gt; 空值点击下一步</x:v>
      </x:c>
      <x:c r="E26" s="661" t="str">
        <x:v>业务弹窗</x:v>
      </x:c>
      <x:c r="F26" s="661" t="str">
        <x:v>可复用</x:v>
      </x:c>
      <x:c r="G26" s="660" t="str">
        <x:v>Toast：请完整填写当前步骤必填项。</x:v>
      </x:c>
      <x:c r="H26" s="687" t="str">
        <x:v>https://voicehub.commind.com/hzzx/mobile/?role=exhibitor</x:v>
      </x:c>
      <x:c r="I26" s="660" t="str">
        <x:v>阻止进入下一步</x:v>
      </x:c>
      <x:c r="J26" s="660" t="str">
        <x:v>未填写、未提交；未验证第二步和成功/失败反馈。</x:v>
      </x:c>
      <x:c r="K26" s="685" t="str">
        <x:v>2026-08-28（AI 输出可能变化）</x:v>
      </x:c>
    </x:row>
    <x:row r="27" ht="75" customHeight="1">
      <x:c r="A27" s="683" t="str">
        <x:v>全部入口</x:v>
      </x:c>
      <x:c r="B27" s="659" t="str">
        <x:v>通用壳层</x:v>
      </x:c>
      <x:c r="C27" s="660" t="str">
        <x:v>设置</x:v>
      </x:c>
      <x:c r="D27" s="660" t="str">
        <x:v>语音播报按钮</x:v>
      </x:c>
      <x:c r="E27" s="661" t="str">
        <x:v>业务弹窗</x:v>
      </x:c>
      <x:c r="F27" s="661" t="str">
        <x:v>可复用</x:v>
      </x:c>
      <x:c r="G27" s="660" t="str">
        <x:v>打开语音播报开关与清空对话菜单。</x:v>
      </x:c>
      <x:c r="H27" s="687" t="str">
        <x:v>https://voicehub.commind.com/hzzx/mobile/</x:v>
      </x:c>
      <x:c r="I27" s="660" t="str">
        <x:v>同页展开菜单</x:v>
      </x:c>
      <x:c r="J27" s="660" t="str">
        <x:v>原型仅演示本地状态。</x:v>
      </x:c>
      <x:c r="K27" s="685" t="str">
        <x:v>2026-08-28（AI 输出可能变化）</x:v>
      </x:c>
    </x:row>
    <x:row r="28" ht="75" customHeight="1">
      <x:c r="A28" s="683" t="str">
        <x:v>全部入口</x:v>
      </x:c>
      <x:c r="B28" s="659" t="str">
        <x:v>通用壳层</x:v>
      </x:c>
      <x:c r="C28" s="660" t="str">
        <x:v>输入区</x:v>
      </x:c>
      <x:c r="D28" s="660" t="str">
        <x:v>语言</x:v>
      </x:c>
      <x:c r="E28" s="661" t="str">
        <x:v>业务弹窗</x:v>
      </x:c>
      <x:c r="F28" s="661" t="str">
        <x:v>可复用</x:v>
      </x:c>
      <x:c r="G28" s="660" t="str">
        <x:v>语言菜单：中文、English、日本語、한국어。</x:v>
      </x:c>
      <x:c r="H28" s="687" t="str">
        <x:v>https://voicehub.commind.com/hzzx/mobile/</x:v>
      </x:c>
      <x:c r="I28" s="660" t="str">
        <x:v>同页展开菜单</x:v>
      </x:c>
      <x:c r="J28" s="660" t="str">
        <x:v>非中文语料完整性未验证。</x:v>
      </x:c>
      <x:c r="K28" s="685" t="str">
        <x:v>2026-08-28（AI 输出可能变化）</x:v>
      </x:c>
    </x:row>
    <x:row r="29" ht="75" customHeight="1">
      <x:c r="A29" s="683" t="str">
        <x:v>全部入口</x:v>
      </x:c>
      <x:c r="B29" s="659" t="str">
        <x:v>通用壳层</x:v>
      </x:c>
      <x:c r="C29" s="660" t="str">
        <x:v>推荐问题</x:v>
      </x:c>
      <x:c r="D29" s="660" t="str">
        <x:v>换一批</x:v>
      </x:c>
      <x:c r="E29" s="661" t="str">
        <x:v>内部功能页</x:v>
      </x:c>
      <x:c r="F29" s="661" t="str">
        <x:v>可复用</x:v>
      </x:c>
      <x:c r="G29" s="660" t="str">
        <x:v>替换当前 4 条推荐问题。</x:v>
      </x:c>
      <x:c r="H29" s="687" t="str">
        <x:v>https://voicehub.commind.com/hzzx/mobile/</x:v>
      </x:c>
      <x:c r="I29" s="660" t="str">
        <x:v>本页刷新问题</x:v>
      </x:c>
      <x:c r="J29" s="660" t="str">
        <x:v>正式题库与角色映射待确认。</x:v>
      </x:c>
      <x:c r="K29" s="685" t="str">
        <x:v>2026-08-28（AI 输出可能变化）</x:v>
      </x:c>
    </x:row>
    <x:row r="30" ht="75" customHeight="1">
      <x:c r="A30" s="683" t="str">
        <x:v>全部入口</x:v>
      </x:c>
      <x:c r="B30" s="659" t="str">
        <x:v>通用壳层</x:v>
      </x:c>
      <x:c r="C30" s="660" t="str">
        <x:v>消息操作</x:v>
      </x:c>
      <x:c r="D30" s="660" t="str">
        <x:v>赞/踩/播报</x:v>
      </x:c>
      <x:c r="E30" s="661" t="str">
        <x:v>内部功能页</x:v>
      </x:c>
      <x:c r="F30" s="661" t="str">
        <x:v>可复用</x:v>
      </x:c>
      <x:c r="G30" s="660" t="str">
        <x:v>系统消息显示赞、踩和播报操作；未发现外部反馈提交。</x:v>
      </x:c>
      <x:c r="H30" s="687" t="str">
        <x:v>https://voicehub.commind.com/hzzx/mobile/</x:v>
      </x:c>
      <x:c r="I30" s="660" t="str">
        <x:v>不跳转</x:v>
      </x:c>
      <x:c r="J30" s="660" t="str">
        <x:v>原型仅保留本地状态，不实施外部写入。</x:v>
      </x:c>
      <x:c r="K30" s="685" t="str">
        <x:v>2026-08-28（AI 输出可能变化）</x:v>
      </x:c>
    </x:row>
  </x:sheetData>
  <x:mergeCells>
    <x:mergeCell ref="A1:K1"/>
    <x:mergeCell ref="A2:K2"/>
  </x:mergeCells>
  <x:dataValidations count="2">
    <x:dataValidation type="list" sqref="E5:E30">
      <x:formula1>"对话回复,推荐列表,内部功能页,外部链接,业务弹窗,待补充占位"</x:formula1>
    </x:dataValidation>
    <x:dataValidation type="list" sqref="F5:F30">
      <x:formula1>"可复用,不可复用"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bece20d56747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.5600004196167" hidden="0" customWidth="1"/>
    <x:col min="3" max="3" width="8.890000343322754" hidden="0" customWidth="1"/>
    <x:col min="4" max="4" width="8.329999923706055" hidden="0" customWidth="1"/>
    <x:col min="5" max="5" width="10.5600004196167" hidden="0" customWidth="1"/>
    <x:col min="6" max="6" width="25.559999465942383" hidden="0" customWidth="1"/>
    <x:col min="7" max="7" width="16.110000610351562" hidden="0" customWidth="1"/>
    <x:col min="8" max="8" width="36.66999816894531" hidden="0" customWidth="1"/>
    <x:col min="9" max="9" width="24.440000534057617" hidden="0" customWidth="1"/>
    <x:col min="10" max="10" width="7.21999979019165" hidden="0" customWidth="1"/>
    <x:col min="11" max="11" width="12.220000267028809" hidden="0" customWidth="1"/>
    <x:col min="12" max="12" width="21.110000610351562" hidden="0" customWidth="1"/>
  </x:cols>
  <x:sheetData>
    <x:row r="1" ht="33" customHeight="1">
      <x:c r="A1" s="711" t="str">
        <x:v>待客户补充清单（15 个角色入口）</x:v>
      </x:c>
      <x:c r="B1" s="712"/>
      <x:c r="C1" s="712"/>
      <x:c r="D1" s="712"/>
      <x:c r="E1" s="712"/>
      <x:c r="F1" s="712"/>
      <x:c r="G1" s="712"/>
      <x:c r="H1" s="712"/>
      <x:c r="I1" s="712"/>
      <x:c r="J1" s="712"/>
      <x:c r="K1" s="712"/>
      <x:c r="L1" s="713"/>
    </x:row>
    <x:row r="2" ht="36" customHeight="1">
      <x:c r="A2" s="546" t="str">
        <x:v>仅收录不可复用和完全新增，共 15 个角色入口；可复用能力不列入必补。跳转类需正式可访问地址与权限/失败状态，语料类需问答语料、结构化数据、规则与空状态。</x:v>
      </x:c>
      <x:c r="B2" s="547"/>
      <x:c r="C2" s="547"/>
      <x:c r="D2" s="547"/>
      <x:c r="E2" s="547"/>
      <x:c r="F2" s="547"/>
      <x:c r="G2" s="547"/>
      <x:c r="H2" s="547"/>
      <x:c r="I2" s="547"/>
      <x:c r="J2" s="547"/>
      <x:c r="K2" s="547"/>
      <x:c r="L2" s="548"/>
    </x:row>
    <x:row r="3">
      <x:c r="A3" s="502"/>
      <x:c r="B3" s="503"/>
      <x:c r="C3" s="503"/>
      <x:c r="D3" s="503"/>
      <x:c r="E3" s="503"/>
      <x:c r="F3" s="503"/>
      <x:c r="G3" s="503"/>
      <x:c r="H3" s="503"/>
      <x:c r="I3" s="503"/>
      <x:c r="J3" s="503"/>
      <x:c r="K3" s="503"/>
      <x:c r="L3" s="504"/>
    </x:row>
    <x:row r="4" ht="27" customHeight="1">
      <x:c r="A4" s="714" t="str">
        <x:v>补充项ID</x:v>
      </x:c>
      <x:c r="B4" s="715" t="str">
        <x:v>能力状态</x:v>
      </x:c>
      <x:c r="C4" s="715" t="str">
        <x:v>角色</x:v>
      </x:c>
      <x:c r="D4" s="715" t="str">
        <x:v>入口ID</x:v>
      </x:c>
      <x:c r="E4" s="715" t="str">
        <x:v>功能</x:v>
      </x:c>
      <x:c r="F4" s="715" t="str">
        <x:v>当前缺口</x:v>
      </x:c>
      <x:c r="G4" s="715" t="str">
        <x:v>客户必补方式</x:v>
      </x:c>
      <x:c r="H4" s="715" t="str">
        <x:v>需要客户提供的内容</x:v>
      </x:c>
      <x:c r="I4" s="715" t="str">
        <x:v>建议格式</x:v>
      </x:c>
      <x:c r="J4" s="715" t="str">
        <x:v>优先级</x:v>
      </x:c>
      <x:c r="K4" s="715" t="str">
        <x:v>确认状态</x:v>
      </x:c>
      <x:c r="L4" s="715" t="str">
        <x:v>备注</x:v>
      </x:c>
    </x:row>
    <x:row r="5" ht="46.5" customHeight="1">
      <x:c r="A5" s="716" t="str">
        <x:v>C001</x:v>
      </x:c>
      <x:c r="B5" s="717" t="str">
        <x:v>完全新增</x:v>
      </x:c>
      <x:c r="C5" s="717" t="str">
        <x:v>普通用户</x:v>
      </x:c>
      <x:c r="D5" s="717" t="str">
        <x:v>V07</x:v>
      </x:c>
      <x:c r="E5" s="717" t="str">
        <x:v>打卡活动</x:v>
      </x:c>
      <x:c r="F5" s="718" t="str">
        <x:v>目标矩阵新增，现网无正式活动入口</x:v>
      </x:c>
      <x:c r="G5" s="717" t="str">
        <x:v>跳转URL</x:v>
      </x:c>
      <x:c r="H5" s="718" t="str">
        <x:v>正式可访问地址、访问权限、登录依赖、成功/失败状态与备用文案</x:v>
      </x:c>
      <x:c r="I5" s="717" t="str">
        <x:v>HTTPS URL + 权限/失败状态说明</x:v>
      </x:c>
      <x:c r="J5" s="717" t="str">
        <x:v>P1</x:v>
      </x:c>
      <x:c r="K5" s="717" t="str">
        <x:v>待客户补充</x:v>
      </x:c>
      <x:c r="L5" s="718" t="str">
        <x:v>用于打卡活动正式跳转</x:v>
      </x:c>
    </x:row>
    <x:row r="6" ht="46.5" customHeight="1">
      <x:c r="A6" s="719" t="str">
        <x:v>C002</x:v>
      </x:c>
      <x:c r="B6" s="720" t="str">
        <x:v>完全新增</x:v>
      </x:c>
      <x:c r="C6" s="720" t="str">
        <x:v>普通用户</x:v>
      </x:c>
      <x:c r="D6" s="720" t="str">
        <x:v>V09</x:v>
      </x:c>
      <x:c r="E6" s="720" t="str">
        <x:v>通用权益</x:v>
      </x:c>
      <x:c r="F6" s="721" t="str">
        <x:v>目标矩阵新增，现网无正式权益入口</x:v>
      </x:c>
      <x:c r="G6" s="720" t="str">
        <x:v>跳转URL</x:v>
      </x:c>
      <x:c r="H6" s="721" t="str">
        <x:v>正式可访问地址、访问权限、资格校验、成功/失败状态与备用文案</x:v>
      </x:c>
      <x:c r="I6" s="720" t="str">
        <x:v>HTTPS URL + 权限/失败状态说明</x:v>
      </x:c>
      <x:c r="J6" s="720" t="str">
        <x:v>P1</x:v>
      </x:c>
      <x:c r="K6" s="720" t="str">
        <x:v>待客户补充</x:v>
      </x:c>
      <x:c r="L6" s="721" t="str">
        <x:v>需明确普通用户权益范围</x:v>
      </x:c>
    </x:row>
    <x:row r="7" ht="46.5" customHeight="1">
      <x:c r="A7" s="719" t="str">
        <x:v>C003</x:v>
      </x:c>
      <x:c r="B7" s="720" t="str">
        <x:v>不可复用</x:v>
      </x:c>
      <x:c r="C7" s="720" t="str">
        <x:v>普通用户</x:v>
      </x:c>
      <x:c r="D7" s="720" t="str">
        <x:v>V10</x:v>
      </x:c>
      <x:c r="E7" s="720" t="str">
        <x:v>一键亮码</x:v>
      </x:c>
      <x:c r="F7" s="721" t="str">
        <x:v>现网仅提示入口未配置地址</x:v>
      </x:c>
      <x:c r="G7" s="720" t="str">
        <x:v>跳转URL</x:v>
      </x:c>
      <x:c r="H7" s="721" t="str">
        <x:v>正式可访问地址、访问权限、码类型、过期机制、成功/失败状态与备用文案</x:v>
      </x:c>
      <x:c r="I7" s="720" t="str">
        <x:v>HTTPS URL + 权限/失败状态说明</x:v>
      </x:c>
      <x:c r="J7" s="720" t="str">
        <x:v>P0</x:v>
      </x:c>
      <x:c r="K7" s="720" t="str">
        <x:v>待客户补充</x:v>
      </x:c>
      <x:c r="L7" s="721" t="str">
        <x:v>无 URL 前不能形成有效反馈</x:v>
      </x:c>
    </x:row>
    <x:row r="8" ht="46.5" customHeight="1">
      <x:c r="A8" s="719" t="str">
        <x:v>C004</x:v>
      </x:c>
      <x:c r="B8" s="720" t="str">
        <x:v>完全新增</x:v>
      </x:c>
      <x:c r="C8" s="720" t="str">
        <x:v>展商</x:v>
      </x:c>
      <x:c r="D8" s="720" t="str">
        <x:v>E03</x:v>
      </x:c>
      <x:c r="E8" s="720" t="str">
        <x:v>商机匹配</x:v>
      </x:c>
      <x:c r="F8" s="721" t="str">
        <x:v>目标矩阵新增，缺少买家/合作方推荐内容</x:v>
      </x:c>
      <x:c r="G8" s="720" t="str">
        <x:v>对话语料/结构化数据</x:v>
      </x:c>
      <x:c r="H8" s="721" t="str">
        <x:v>问答语料、结构化买家/合作方数据、匹配规则、排序、换一批与空状态</x:v>
      </x:c>
      <x:c r="I8" s="720" t="str">
        <x:v>Excel/CSV + 问答语料 + 规则说明</x:v>
      </x:c>
      <x:c r="J8" s="720" t="str">
        <x:v>P1</x:v>
      </x:c>
      <x:c r="K8" s="720" t="str">
        <x:v>待客户补充</x:v>
      </x:c>
      <x:c r="L8" s="721" t="str">
        <x:v>需定义推荐字段与展示边界</x:v>
      </x:c>
    </x:row>
    <x:row r="9" ht="46.5" customHeight="1">
      <x:c r="A9" s="719" t="str">
        <x:v>C005</x:v>
      </x:c>
      <x:c r="B9" s="720" t="str">
        <x:v>完全新增</x:v>
      </x:c>
      <x:c r="C9" s="720" t="str">
        <x:v>展商</x:v>
      </x:c>
      <x:c r="D9" s="720" t="str">
        <x:v>E06</x:v>
      </x:c>
      <x:c r="E9" s="720" t="str">
        <x:v>参展权益</x:v>
      </x:c>
      <x:c r="F9" s="721" t="str">
        <x:v>目标矩阵新增，现网无展商权益入口</x:v>
      </x:c>
      <x:c r="G9" s="720" t="str">
        <x:v>跳转URL</x:v>
      </x:c>
      <x:c r="H9" s="721" t="str">
        <x:v>正式可访问地址、访问权限、资格校验、有效期、成功/失败状态与备用文案</x:v>
      </x:c>
      <x:c r="I9" s="720" t="str">
        <x:v>HTTPS URL + 权限/失败状态说明</x:v>
      </x:c>
      <x:c r="J9" s="720" t="str">
        <x:v>P0</x:v>
      </x:c>
      <x:c r="K9" s="720" t="str">
        <x:v>待客户补充</x:v>
      </x:c>
      <x:c r="L9" s="721" t="str">
        <x:v>需明确展商专属权益</x:v>
      </x:c>
    </x:row>
    <x:row r="10" ht="46.5" customHeight="1">
      <x:c r="A10" s="719" t="str">
        <x:v>C006</x:v>
      </x:c>
      <x:c r="B10" s="720" t="str">
        <x:v>不可复用</x:v>
      </x:c>
      <x:c r="C10" s="720" t="str">
        <x:v>展商</x:v>
      </x:c>
      <x:c r="D10" s="720" t="str">
        <x:v>E10</x:v>
      </x:c>
      <x:c r="E10" s="720" t="str">
        <x:v>一键亮码</x:v>
      </x:c>
      <x:c r="F10" s="721" t="str">
        <x:v>共用现网能力未配置跳转地址</x:v>
      </x:c>
      <x:c r="G10" s="720" t="str">
        <x:v>跳转URL</x:v>
      </x:c>
      <x:c r="H10" s="721" t="str">
        <x:v>正式可访问地址、访问权限、码类型、过期机制、成功/失败状态与备用文案</x:v>
      </x:c>
      <x:c r="I10" s="720" t="str">
        <x:v>HTTPS URL + 权限/失败状态说明</x:v>
      </x:c>
      <x:c r="J10" s="720" t="str">
        <x:v>P0</x:v>
      </x:c>
      <x:c r="K10" s="720" t="str">
        <x:v>待客户补充</x:v>
      </x:c>
      <x:c r="L10" s="721" t="str">
        <x:v>不得沿用无地址占位</x:v>
      </x:c>
    </x:row>
    <x:row r="11" ht="46.5" customHeight="1">
      <x:c r="A11" s="719" t="str">
        <x:v>C007</x:v>
      </x:c>
      <x:c r="B11" s="720" t="str">
        <x:v>完全新增</x:v>
      </x:c>
      <x:c r="C11" s="720" t="str">
        <x:v>客商</x:v>
      </x:c>
      <x:c r="D11" s="720" t="str">
        <x:v>B02</x:v>
      </x:c>
      <x:c r="E11" s="720" t="str">
        <x:v>智能选品</x:v>
      </x:c>
      <x:c r="F11" s="721" t="str">
        <x:v>目标矩阵新增，缺少偏好与展商/展品推荐数据</x:v>
      </x:c>
      <x:c r="G11" s="720" t="str">
        <x:v>对话语料/结构化数据</x:v>
      </x:c>
      <x:c r="H11" s="721" t="str">
        <x:v>问答语料、采购偏好字段、结构化展商/展品数据、推荐规则、换一批与空状态</x:v>
      </x:c>
      <x:c r="I11" s="720" t="str">
        <x:v>Excel/CSV + 问答语料 + 规则说明</x:v>
      </x:c>
      <x:c r="J11" s="720" t="str">
        <x:v>P1</x:v>
      </x:c>
      <x:c r="K11" s="720" t="str">
        <x:v>待客户补充</x:v>
      </x:c>
      <x:c r="L11" s="721" t="str">
        <x:v>需提供推荐卡片字段</x:v>
      </x:c>
    </x:row>
    <x:row r="12" ht="46.5" customHeight="1">
      <x:c r="A12" s="719" t="str">
        <x:v>C008</x:v>
      </x:c>
      <x:c r="B12" s="720" t="str">
        <x:v>完全新增</x:v>
      </x:c>
      <x:c r="C12" s="720" t="str">
        <x:v>客商</x:v>
      </x:c>
      <x:c r="D12" s="720" t="str">
        <x:v>B03</x:v>
      </x:c>
      <x:c r="E12" s="720" t="str">
        <x:v>展商搜索</x:v>
      </x:c>
      <x:c r="F12" s="721" t="str">
        <x:v>目标矩阵新增，缺少搜索语料和展商数据</x:v>
      </x:c>
      <x:c r="G12" s="720" t="str">
        <x:v>对话语料/结构化数据</x:v>
      </x:c>
      <x:c r="H12" s="721" t="str">
        <x:v>问答语料、可搜字段、结构化展商数据、搜索规则、详情字段与空状态</x:v>
      </x:c>
      <x:c r="I12" s="720" t="str">
        <x:v>Excel/CSV + 问答语料 + 规则说明</x:v>
      </x:c>
      <x:c r="J12" s="720" t="str">
        <x:v>P1</x:v>
      </x:c>
      <x:c r="K12" s="720" t="str">
        <x:v>待客户补充</x:v>
      </x:c>
      <x:c r="L12" s="721" t="str">
        <x:v>需定义模糊搜索与无结果反馈</x:v>
      </x:c>
    </x:row>
    <x:row r="13" ht="46.5" customHeight="1">
      <x:c r="A13" s="719" t="str">
        <x:v>C009</x:v>
      </x:c>
      <x:c r="B13" s="720" t="str">
        <x:v>完全新增</x:v>
      </x:c>
      <x:c r="C13" s="720" t="str">
        <x:v>客商</x:v>
      </x:c>
      <x:c r="D13" s="720" t="str">
        <x:v>B05</x:v>
      </x:c>
      <x:c r="E13" s="720" t="str">
        <x:v>展会回访</x:v>
      </x:c>
      <x:c r="F13" s="721" t="str">
        <x:v>目标矩阵新增，现网无回访问卷入口</x:v>
      </x:c>
      <x:c r="G13" s="720" t="str">
        <x:v>跳转URL</x:v>
      </x:c>
      <x:c r="H13" s="721" t="str">
        <x:v>正式可访问地址、访问权限、匿名/登录要求、提交成功/失败状态与备用文案</x:v>
      </x:c>
      <x:c r="I13" s="720" t="str">
        <x:v>HTTPS URL + 权限/失败状态说明</x:v>
      </x:c>
      <x:c r="J13" s="720" t="str">
        <x:v>P1</x:v>
      </x:c>
      <x:c r="K13" s="720" t="str">
        <x:v>待客户补充</x:v>
      </x:c>
      <x:c r="L13" s="721" t="str">
        <x:v>需明确问卷有效期</x:v>
      </x:c>
    </x:row>
    <x:row r="14" ht="46.5" customHeight="1">
      <x:c r="A14" s="719" t="str">
        <x:v>C010</x:v>
      </x:c>
      <x:c r="B14" s="720" t="str">
        <x:v>完全新增</x:v>
      </x:c>
      <x:c r="C14" s="720" t="str">
        <x:v>客商</x:v>
      </x:c>
      <x:c r="D14" s="720" t="str">
        <x:v>B06</x:v>
      </x:c>
      <x:c r="E14" s="720" t="str">
        <x:v>参展权益</x:v>
      </x:c>
      <x:c r="F14" s="721" t="str">
        <x:v>目标矩阵新增，现网无客商权益入口</x:v>
      </x:c>
      <x:c r="G14" s="720" t="str">
        <x:v>跳转URL</x:v>
      </x:c>
      <x:c r="H14" s="721" t="str">
        <x:v>正式可访问地址、访问权限、资格校验、有效期、成功/失败状态与备用文案</x:v>
      </x:c>
      <x:c r="I14" s="720" t="str">
        <x:v>HTTPS URL + 权限/失败状态说明</x:v>
      </x:c>
      <x:c r="J14" s="720" t="str">
        <x:v>P0</x:v>
      </x:c>
      <x:c r="K14" s="720" t="str">
        <x:v>待客户补充</x:v>
      </x:c>
      <x:c r="L14" s="721" t="str">
        <x:v>需明确客商专属权益</x:v>
      </x:c>
    </x:row>
    <x:row r="15" ht="46.5" customHeight="1">
      <x:c r="A15" s="719" t="str">
        <x:v>C011</x:v>
      </x:c>
      <x:c r="B15" s="720" t="str">
        <x:v>不可复用</x:v>
      </x:c>
      <x:c r="C15" s="720" t="str">
        <x:v>客商</x:v>
      </x:c>
      <x:c r="D15" s="720" t="str">
        <x:v>B09</x:v>
      </x:c>
      <x:c r="E15" s="720" t="str">
        <x:v>一键亮码</x:v>
      </x:c>
      <x:c r="F15" s="721" t="str">
        <x:v>共用现网能力未配置跳转地址</x:v>
      </x:c>
      <x:c r="G15" s="720" t="str">
        <x:v>跳转URL</x:v>
      </x:c>
      <x:c r="H15" s="721" t="str">
        <x:v>正式可访问地址、访问权限、码类型、过期机制、成功/失败状态与备用文案</x:v>
      </x:c>
      <x:c r="I15" s="720" t="str">
        <x:v>HTTPS URL + 权限/失败状态说明</x:v>
      </x:c>
      <x:c r="J15" s="720" t="str">
        <x:v>P0</x:v>
      </x:c>
      <x:c r="K15" s="720" t="str">
        <x:v>待客户补充</x:v>
      </x:c>
      <x:c r="L15" s="721" t="str">
        <x:v>不得沿用无地址占位</x:v>
      </x:c>
    </x:row>
    <x:row r="16" ht="46.5" customHeight="1">
      <x:c r="A16" s="719" t="str">
        <x:v>C012</x:v>
      </x:c>
      <x:c r="B16" s="720" t="str">
        <x:v>不可复用</x:v>
      </x:c>
      <x:c r="C16" s="720" t="str">
        <x:v>媒体</x:v>
      </x:c>
      <x:c r="D16" s="720" t="str">
        <x:v>M01</x:v>
      </x:c>
      <x:c r="E16" s="720" t="str">
        <x:v>媒体手册</x:v>
      </x:c>
      <x:c r="F16" s="721" t="str">
        <x:v>现网素材库返回 500，无法进入有效目标页面</x:v>
      </x:c>
      <x:c r="G16" s="720" t="str">
        <x:v>跳转URL</x:v>
      </x:c>
      <x:c r="H16" s="721" t="str">
        <x:v>正式可访问地址、访问权限、素材范围、成功/失败状态与备用文案</x:v>
      </x:c>
      <x:c r="I16" s="720" t="str">
        <x:v>HTTPS URL + 权限/失败状态说明</x:v>
      </x:c>
      <x:c r="J16" s="720" t="str">
        <x:v>P0</x:v>
      </x:c>
      <x:c r="K16" s="720" t="str">
        <x:v>待客户补充</x:v>
      </x:c>
      <x:c r="L16" s="721" t="str">
        <x:v>不保存异常地址或动态鉴权值</x:v>
      </x:c>
    </x:row>
    <x:row r="17" ht="46.5" customHeight="1">
      <x:c r="A17" s="719" t="str">
        <x:v>C013</x:v>
      </x:c>
      <x:c r="B17" s="720" t="str">
        <x:v>完全新增</x:v>
      </x:c>
      <x:c r="C17" s="720" t="str">
        <x:v>媒体</x:v>
      </x:c>
      <x:c r="D17" s="720" t="str">
        <x:v>M03</x:v>
      </x:c>
      <x:c r="E17" s="720" t="str">
        <x:v>现场素材</x:v>
      </x:c>
      <x:c r="F17" s="721" t="str">
        <x:v>目标矩阵新增，现网无正式现场素材入口</x:v>
      </x:c>
      <x:c r="G17" s="720" t="str">
        <x:v>跳转URL</x:v>
      </x:c>
      <x:c r="H17" s="721" t="str">
        <x:v>正式可访问地址、访问权限、素材授权范围、成功/失败状态与备用文案</x:v>
      </x:c>
      <x:c r="I17" s="720" t="str">
        <x:v>HTTPS URL + 权限/失败状态说明</x:v>
      </x:c>
      <x:c r="J17" s="720" t="str">
        <x:v>P1</x:v>
      </x:c>
      <x:c r="K17" s="720" t="str">
        <x:v>待客户补充</x:v>
      </x:c>
      <x:c r="L17" s="721" t="str">
        <x:v>需明确预览与下载权限</x:v>
      </x:c>
    </x:row>
    <x:row r="18" ht="46.5" customHeight="1">
      <x:c r="A18" s="719" t="str">
        <x:v>C014</x:v>
      </x:c>
      <x:c r="B18" s="720" t="str">
        <x:v>完全新增</x:v>
      </x:c>
      <x:c r="C18" s="720" t="str">
        <x:v>媒体</x:v>
      </x:c>
      <x:c r="D18" s="720" t="str">
        <x:v>M05</x:v>
      </x:c>
      <x:c r="E18" s="720" t="str">
        <x:v>传播热点</x:v>
      </x:c>
      <x:c r="F18" s="721" t="str">
        <x:v>目标矩阵新增，缺少热点语料和结构化数据</x:v>
      </x:c>
      <x:c r="G18" s="720" t="str">
        <x:v>对话语料/结构化数据</x:v>
      </x:c>
      <x:c r="H18" s="721" t="str">
        <x:v>问答语料、结构化热点数据、来源、统计规则、更新频率、排序与空状态</x:v>
      </x:c>
      <x:c r="I18" s="720" t="str">
        <x:v>Excel/CSV + 问答语料 + 规则说明</x:v>
      </x:c>
      <x:c r="J18" s="720" t="str">
        <x:v>P1</x:v>
      </x:c>
      <x:c r="K18" s="720" t="str">
        <x:v>待客户补充</x:v>
      </x:c>
      <x:c r="L18" s="721" t="str">
        <x:v>需定义热点失效规则</x:v>
      </x:c>
    </x:row>
    <x:row r="19" ht="46.5" customHeight="1">
      <x:c r="A19" s="719" t="str">
        <x:v>C015</x:v>
      </x:c>
      <x:c r="B19" s="720" t="str">
        <x:v>完全新增</x:v>
      </x:c>
      <x:c r="C19" s="720" t="str">
        <x:v>媒体</x:v>
      </x:c>
      <x:c r="D19" s="720" t="str">
        <x:v>M07</x:v>
      </x:c>
      <x:c r="E19" s="720" t="str">
        <x:v>参展权益</x:v>
      </x:c>
      <x:c r="F19" s="721" t="str">
        <x:v>目标矩阵新增，现网无媒体权益入口</x:v>
      </x:c>
      <x:c r="G19" s="720" t="str">
        <x:v>跳转URL</x:v>
      </x:c>
      <x:c r="H19" s="721" t="str">
        <x:v>正式可访问地址、访问权限、资格校验、有效期、成功/失败状态与备用文案</x:v>
      </x:c>
      <x:c r="I19" s="720" t="str">
        <x:v>HTTPS URL + 权限/失败状态说明</x:v>
      </x:c>
      <x:c r="J19" s="720" t="str">
        <x:v>P0</x:v>
      </x:c>
      <x:c r="K19" s="720" t="str">
        <x:v>待客户补充</x:v>
      </x:c>
      <x:c r="L19" s="721" t="str">
        <x:v>需明确媒体专属权益</x:v>
      </x:c>
    </x:row>
    <x:row r="20" ht="13.5" customHeight="1">
      <x:c r="A20"/>
      <x:c r="B20"/>
      <x:c r="C20"/>
      <x:c r="D20"/>
      <x:c r="E20"/>
      <x:c r="F20"/>
      <x:c r="G20"/>
      <x:c r="H20"/>
      <x:c r="I20"/>
      <x:c r="J20"/>
    </x:row>
    <x:row r="21" ht="13.5" customHeight="1">
      <x:c r="A21"/>
      <x:c r="B21"/>
      <x:c r="C21"/>
      <x:c r="D21"/>
      <x:c r="E21"/>
      <x:c r="F21"/>
      <x:c r="G21"/>
      <x:c r="H21"/>
      <x:c r="I21"/>
      <x:c r="J21"/>
    </x:row>
    <x:row r="22" ht="13.5" customHeight="1">
      <x:c r="A22"/>
      <x:c r="B22"/>
      <x:c r="C22"/>
      <x:c r="D22"/>
      <x:c r="E22"/>
      <x:c r="F22"/>
      <x:c r="G22"/>
      <x:c r="H22"/>
      <x:c r="I22"/>
      <x:c r="J22"/>
    </x:row>
    <x:row r="23" ht="13.5" customHeight="1">
      <x:c r="A23"/>
      <x:c r="B23"/>
      <x:c r="C23"/>
      <x:c r="D23"/>
      <x:c r="E23"/>
      <x:c r="F23"/>
      <x:c r="G23"/>
      <x:c r="H23"/>
      <x:c r="I23"/>
      <x:c r="J23"/>
    </x:row>
    <x:row r="24" ht="13.5" customHeight="1">
      <x:c r="A24"/>
      <x:c r="B24"/>
      <x:c r="C24"/>
      <x:c r="D24"/>
      <x:c r="E24"/>
      <x:c r="F24"/>
      <x:c r="G24"/>
      <x:c r="H24"/>
      <x:c r="I24"/>
      <x:c r="J24"/>
    </x:row>
    <x:row r="25" ht="13.5" customHeight="1">
      <x:c r="A25"/>
      <x:c r="B25"/>
      <x:c r="C25"/>
      <x:c r="D25"/>
      <x:c r="E25"/>
      <x:c r="F25"/>
      <x:c r="G25"/>
      <x:c r="H25"/>
      <x:c r="I25"/>
      <x:c r="J25"/>
    </x:row>
    <x:row r="26" ht="13.5" customHeight="1">
      <x:c r="A26"/>
      <x:c r="B26"/>
      <x:c r="C26"/>
      <x:c r="D26"/>
      <x:c r="E26"/>
      <x:c r="F26"/>
      <x:c r="G26"/>
      <x:c r="H26"/>
      <x:c r="I26"/>
      <x:c r="J26"/>
    </x:row>
    <x:row r="27" ht="13.5" customHeight="1">
      <x:c r="A27"/>
      <x:c r="B27"/>
      <x:c r="C27"/>
      <x:c r="D27"/>
      <x:c r="E27"/>
      <x:c r="F27"/>
      <x:c r="G27"/>
      <x:c r="H27"/>
      <x:c r="I27"/>
      <x:c r="J27"/>
    </x:row>
    <x:row r="28" ht="13.5" customHeight="1">
      <x:c r="A28"/>
      <x:c r="B28"/>
      <x:c r="C28"/>
      <x:c r="D28"/>
      <x:c r="E28"/>
      <x:c r="F28"/>
      <x:c r="G28"/>
      <x:c r="H28"/>
      <x:c r="I28"/>
      <x:c r="J28"/>
    </x:row>
    <x:row r="29" ht="13.5" customHeight="1">
      <x:c r="A29"/>
      <x:c r="B29"/>
      <x:c r="C29"/>
      <x:c r="D29"/>
      <x:c r="E29"/>
      <x:c r="F29"/>
      <x:c r="G29"/>
      <x:c r="H29"/>
      <x:c r="I29"/>
      <x:c r="J29"/>
    </x:row>
    <x:row r="30" ht="13.5" customHeight="1">
      <x:c r="A30"/>
      <x:c r="B30"/>
      <x:c r="C30"/>
      <x:c r="D30"/>
      <x:c r="E30"/>
      <x:c r="F30"/>
      <x:c r="G30"/>
      <x:c r="H30"/>
      <x:c r="I30"/>
      <x:c r="J30"/>
    </x:row>
    <x:row r="31" ht="13.5" customHeight="1">
      <x:c r="A31"/>
      <x:c r="B31"/>
      <x:c r="C31"/>
      <x:c r="D31"/>
      <x:c r="E31"/>
      <x:c r="F31"/>
      <x:c r="G31"/>
      <x:c r="H31"/>
      <x:c r="I31"/>
      <x:c r="J31"/>
    </x:row>
    <x:row r="32" ht="13.5" customHeight="1">
      <x:c r="A32"/>
      <x:c r="B32"/>
      <x:c r="C32"/>
      <x:c r="D32"/>
      <x:c r="E32"/>
      <x:c r="F32"/>
      <x:c r="G32"/>
      <x:c r="H32"/>
      <x:c r="I32"/>
      <x:c r="J32"/>
    </x:row>
    <x:row r="33" ht="13.5" customHeight="1">
      <x:c r="A33"/>
      <x:c r="B33"/>
      <x:c r="C33"/>
      <x:c r="D33"/>
      <x:c r="E33"/>
      <x:c r="F33"/>
      <x:c r="G33"/>
      <x:c r="H33"/>
      <x:c r="I33"/>
      <x:c r="J33"/>
    </x:row>
    <x:row r="34" ht="13.5" customHeight="1">
      <x:c r="A34"/>
      <x:c r="B34"/>
      <x:c r="C34"/>
      <x:c r="D34"/>
      <x:c r="E34"/>
      <x:c r="F34"/>
      <x:c r="G34"/>
      <x:c r="H34"/>
      <x:c r="I34"/>
      <x:c r="J34"/>
    </x:row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</x:sheetData>
  <x:mergeCells>
    <x:mergeCell ref="A1:L1"/>
    <x:mergeCell ref="A2:L2"/>
  </x:mergeCells>
  <x:dataValidations count="4">
    <x:dataValidation type="list" sqref="B5:B19">
      <x:formula1>"不可复用,完全新增"</x:formula1>
    </x:dataValidation>
    <x:dataValidation type="list" sqref="G5:G19">
      <x:formula1>"跳转URL,对话语料/结构化数据"</x:formula1>
    </x:dataValidation>
    <x:dataValidation type="list" sqref="J5:J19">
      <x:formula1>"P0,P1,P2"</x:formula1>
    </x:dataValidation>
    <x:dataValidation type="list" sqref="K5:K19">
      <x:formula1>"待客户补充,客户已提供,已确认"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6c5ef7ea824c62"/>
  </x:tableParts>
</x:worksheet>
</file>